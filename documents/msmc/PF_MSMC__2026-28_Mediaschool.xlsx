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emineoeducation-my.sharepoint.com/personal/arnaud_robert_emineo-education_fr/Documents/Bureau/"/>
    </mc:Choice>
  </mc:AlternateContent>
  <xr:revisionPtr revIDLastSave="30" documentId="8_{EE1564CD-291B-4215-A9A4-50BC0B9EB46A}" xr6:coauthVersionLast="47" xr6:coauthVersionMax="47" xr10:uidLastSave="{2E395864-E5B7-40D3-A779-A62B678A0EB1}"/>
  <bookViews>
    <workbookView xWindow="-108" yWindow="-108" windowWidth="23256" windowHeight="12456" firstSheet="1" activeTab="1" xr2:uid="{A2EFD54E-A483-4CB6-89E9-2C91962342A9}"/>
  </bookViews>
  <sheets>
    <sheet name="Mst MSMC1 " sheetId="1" r:id="rId1"/>
    <sheet name="Mst MSMC2" sheetId="2" r:id="rId2"/>
  </sheets>
  <definedNames>
    <definedName name="_xlnm._FilterDatabase" localSheetId="0" hidden="1">'Mst MSMC1 '!$A$3:$G$66</definedName>
    <definedName name="_xlnm._FilterDatabase" localSheetId="1" hidden="1">'Mst MSMC2'!$A$3:$G$82</definedName>
    <definedName name="_xlnm.Print_Area" localSheetId="0">'Mst MSMC1 '!$A$1:$I$66</definedName>
    <definedName name="_xlnm.Print_Area" localSheetId="1">'Mst MSMC2'!$A$1:$G$83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77" i="2"/>
  <c r="B4" i="2"/>
  <c r="C23" i="2"/>
  <c r="B58" i="1"/>
  <c r="B51" i="1"/>
  <c r="C29" i="1"/>
  <c r="C52" i="1" l="1"/>
  <c r="C60" i="1"/>
  <c r="C57" i="1"/>
  <c r="C54" i="1"/>
  <c r="C55" i="1"/>
  <c r="C56" i="1"/>
  <c r="C59" i="1"/>
  <c r="C53" i="1"/>
  <c r="C63" i="1"/>
  <c r="C64" i="1"/>
  <c r="C65" i="1"/>
  <c r="C62" i="1"/>
  <c r="C43" i="1"/>
  <c r="C44" i="1"/>
  <c r="C45" i="1"/>
  <c r="C46" i="1"/>
  <c r="C47" i="1"/>
  <c r="C48" i="1"/>
  <c r="C49" i="1"/>
  <c r="C50" i="1"/>
  <c r="C42" i="1"/>
  <c r="C34" i="1"/>
  <c r="C35" i="1"/>
  <c r="C36" i="1"/>
  <c r="C37" i="1"/>
  <c r="C38" i="1"/>
  <c r="C39" i="1"/>
  <c r="C33" i="1"/>
  <c r="C23" i="1"/>
  <c r="C24" i="1"/>
  <c r="C25" i="1"/>
  <c r="C26" i="1"/>
  <c r="C27" i="1"/>
  <c r="C28" i="1"/>
  <c r="C22" i="1"/>
  <c r="C19" i="1"/>
  <c r="C20" i="1"/>
  <c r="C18" i="1"/>
  <c r="C15" i="1"/>
  <c r="C14" i="1"/>
  <c r="C11" i="1"/>
  <c r="C12" i="1"/>
  <c r="C10" i="1"/>
  <c r="C8" i="1"/>
  <c r="C7" i="1"/>
  <c r="C6" i="1"/>
  <c r="C73" i="2"/>
  <c r="C74" i="2"/>
  <c r="C68" i="2"/>
  <c r="C69" i="2"/>
  <c r="C70" i="2"/>
  <c r="C67" i="2"/>
  <c r="C63" i="2"/>
  <c r="C64" i="2"/>
  <c r="C65" i="2"/>
  <c r="C62" i="2"/>
  <c r="C57" i="2"/>
  <c r="C58" i="2"/>
  <c r="C59" i="2"/>
  <c r="C60" i="2"/>
  <c r="C56" i="2"/>
  <c r="C52" i="2"/>
  <c r="C53" i="2"/>
  <c r="C54" i="2"/>
  <c r="C51" i="2"/>
  <c r="C46" i="2"/>
  <c r="C47" i="2"/>
  <c r="C48" i="2"/>
  <c r="C45" i="2"/>
  <c r="C40" i="2"/>
  <c r="C41" i="2"/>
  <c r="C42" i="2"/>
  <c r="C43" i="2"/>
  <c r="C39" i="2"/>
  <c r="C34" i="2"/>
  <c r="C35" i="2"/>
  <c r="C36" i="2"/>
  <c r="C37" i="2"/>
  <c r="C33" i="2"/>
  <c r="C28" i="2"/>
  <c r="C29" i="2"/>
  <c r="C30" i="2"/>
  <c r="C31" i="2"/>
  <c r="C27" i="2"/>
  <c r="C22" i="2"/>
  <c r="C21" i="2"/>
  <c r="B75" i="2"/>
  <c r="B71" i="2"/>
  <c r="B66" i="2"/>
  <c r="B61" i="2"/>
  <c r="B55" i="2"/>
  <c r="B44" i="2"/>
  <c r="B38" i="2"/>
  <c r="B32" i="2"/>
  <c r="C19" i="2"/>
  <c r="C18" i="2"/>
  <c r="C17" i="2"/>
  <c r="C16" i="2"/>
  <c r="C15" i="2"/>
  <c r="C13" i="2"/>
  <c r="C12" i="2"/>
  <c r="C11" i="2"/>
  <c r="C10" i="2"/>
  <c r="C9" i="2"/>
  <c r="C8" i="2"/>
  <c r="C7" i="2"/>
  <c r="C6" i="2"/>
  <c r="B61" i="1"/>
  <c r="B40" i="1"/>
  <c r="B31" i="1"/>
  <c r="B4" i="1"/>
  <c r="B49" i="2" l="1"/>
  <c r="B25" i="2"/>
  <c r="B30" i="1"/>
  <c r="B66" i="1" s="1"/>
  <c r="B24" i="2" l="1"/>
  <c r="B83" i="2" s="1"/>
</calcChain>
</file>

<file path=xl/sharedStrings.xml><?xml version="1.0" encoding="utf-8"?>
<sst xmlns="http://schemas.openxmlformats.org/spreadsheetml/2006/main" count="483" uniqueCount="238">
  <si>
    <t xml:space="preserve">Manager des stratégies marketing et communication
Année 1 </t>
  </si>
  <si>
    <t>RNCP 38504 (MediaSchool)</t>
  </si>
  <si>
    <t>Module</t>
  </si>
  <si>
    <t>Volumétrie Préconisée</t>
  </si>
  <si>
    <t>Séances</t>
  </si>
  <si>
    <t>Séquençage</t>
  </si>
  <si>
    <t>Compétences liées</t>
  </si>
  <si>
    <t>Evaluations certifiantes</t>
  </si>
  <si>
    <t>Compétences du bloc</t>
  </si>
  <si>
    <t>EPREUVES CERTIFIANTES - ECRIT</t>
  </si>
  <si>
    <t>EPREUVES CERTIFIANTES - ORAL</t>
  </si>
  <si>
    <t>TC BC1 : Diagnostiquer le positionnement et la proposition de valeur distinctive de la marque</t>
  </si>
  <si>
    <t> </t>
  </si>
  <si>
    <t>Année 1</t>
  </si>
  <si>
    <t>A.1 Pilotage d’une veille stratégique sur l’environnement de la marque</t>
  </si>
  <si>
    <r>
      <t xml:space="preserve">BC01 - A.1 EC
</t>
    </r>
    <r>
      <rPr>
        <b/>
        <sz val="10"/>
        <color theme="5"/>
        <rFont val="Aptos Narrow"/>
        <family val="2"/>
      </rPr>
      <t>NOTE DE SYNTHÈSE</t>
    </r>
    <r>
      <rPr>
        <b/>
        <sz val="10"/>
        <color rgb="FF000000"/>
        <rFont val="Aptos Narrow"/>
        <family val="2"/>
      </rPr>
      <t xml:space="preserve">
</t>
    </r>
    <r>
      <rPr>
        <i/>
        <sz val="10"/>
        <color rgb="FF000000"/>
        <rFont val="Aptos Narrow"/>
        <family val="2"/>
      </rPr>
      <t xml:space="preserve">Individuel
</t>
    </r>
    <r>
      <rPr>
        <b/>
        <i/>
        <sz val="10"/>
        <color rgb="FF000000"/>
        <rFont val="Aptos Narrow"/>
        <family val="2"/>
      </rPr>
      <t xml:space="preserve">Ecrit </t>
    </r>
    <r>
      <rPr>
        <i/>
        <sz val="10"/>
        <color rgb="FF000000"/>
        <rFont val="Aptos Narrow"/>
        <family val="2"/>
      </rPr>
      <t xml:space="preserve">- Fin mai/début juin
</t>
    </r>
    <r>
      <rPr>
        <b/>
        <i/>
        <sz val="10"/>
        <color rgb="FF000000"/>
        <rFont val="Aptos Narrow"/>
        <family val="2"/>
      </rPr>
      <t xml:space="preserve">Oral </t>
    </r>
    <r>
      <rPr>
        <i/>
        <sz val="10"/>
        <color rgb="FF000000"/>
        <rFont val="Aptos Narrow"/>
        <family val="2"/>
      </rPr>
      <t>- début juillet</t>
    </r>
  </si>
  <si>
    <r>
      <rPr>
        <b/>
        <sz val="9"/>
        <color rgb="FF000000"/>
        <rFont val="Aptos Narrow"/>
        <family val="2"/>
      </rPr>
      <t>C.1</t>
    </r>
    <r>
      <rPr>
        <sz val="9"/>
        <color rgb="FF000000"/>
        <rFont val="Aptos Narrow"/>
        <family val="2"/>
      </rPr>
      <t xml:space="preserve"> Organiser un système de veille stratégique sur l’environnement de la marque, afin de disposer des informations concernant les évolutions touchant aux technologies, à la règlementation, aux tendances sociocomportementales et aux pratiques de communication.
</t>
    </r>
    <r>
      <rPr>
        <b/>
        <sz val="9"/>
        <color rgb="FF000000"/>
        <rFont val="Aptos Narrow"/>
        <family val="2"/>
      </rPr>
      <t>C.2</t>
    </r>
    <r>
      <rPr>
        <sz val="9"/>
        <color rgb="FF000000"/>
        <rFont val="Aptos Narrow"/>
        <family val="2"/>
      </rPr>
      <t xml:space="preserve"> Evaluer l’impact des tendances repérées dans l’environnement de la marque, afin de qualifier leur potentiel d’opportunité ou de risque et de déterminer leurs modalités de prise en compte pour la marque concernant son positionnement, son offre produits/services et sa stratégie de communication.</t>
    </r>
  </si>
  <si>
    <r>
      <rPr>
        <b/>
        <sz val="9"/>
        <color rgb="FFFF0000"/>
        <rFont val="Aptos Narrow"/>
        <family val="2"/>
      </rPr>
      <t>E1 Note de synthèse</t>
    </r>
    <r>
      <rPr>
        <sz val="9"/>
        <color rgb="FF000000"/>
        <rFont val="Aptos Narrow"/>
        <family val="2"/>
      </rPr>
      <t xml:space="preserve">
sur les évolutions et tendances de l’environnement 
d’une marque ciblée, réalisée à partir d’une veille 
stratégique
</t>
    </r>
    <r>
      <rPr>
        <b/>
        <sz val="9"/>
        <color rgb="FF000000"/>
        <rFont val="Aptos Narrow"/>
        <family val="2"/>
      </rPr>
      <t xml:space="preserve">1 ECRIT Hors centre 3 à 6 mois 
INDIVIDUEL </t>
    </r>
  </si>
  <si>
    <r>
      <rPr>
        <b/>
        <sz val="9"/>
        <color rgb="FFFF0000"/>
        <rFont val="Aptos Narrow"/>
        <family val="2"/>
      </rPr>
      <t>1 ORAL 30 minutes :</t>
    </r>
    <r>
      <rPr>
        <sz val="9"/>
        <color rgb="FF000000"/>
        <rFont val="Aptos Narrow"/>
        <family val="2"/>
      </rPr>
      <t xml:space="preserve">
• 15 minutes de présentation
• 15 minutes de questions/réponses
• A programmer 1 semaine minimum après le rendu du 
livrable
• Présentation de la note de synthèse et de la plateforme 
de marque,
Justification des méthodologies mobilisées, ainsi que le 
résultat des analyses conduites à partir des investigations 
et études opérées.</t>
    </r>
  </si>
  <si>
    <t>Veille dynamique (panel, méthodes d'interview) et Imaginaires de la conso</t>
  </si>
  <si>
    <t>S1-S2</t>
  </si>
  <si>
    <t>C1</t>
  </si>
  <si>
    <t xml:space="preserve">Stratégie d'impact positif </t>
  </si>
  <si>
    <t>C2</t>
  </si>
  <si>
    <t>TD : Méthodologie Dossier de veille</t>
  </si>
  <si>
    <t>C1, C2</t>
  </si>
  <si>
    <t>A.2 Conduite d’études marketing sur le marché et le public cible de la marque centrées sur la Data</t>
  </si>
  <si>
    <r>
      <t xml:space="preserve">BC01 - A.2-A.3 EC
</t>
    </r>
    <r>
      <rPr>
        <b/>
        <sz val="10"/>
        <color theme="5"/>
        <rFont val="Aptos Narrow"/>
        <family val="2"/>
      </rPr>
      <t>PACK MARQUE</t>
    </r>
    <r>
      <rPr>
        <b/>
        <sz val="10"/>
        <color rgb="FF000000"/>
        <rFont val="Aptos Narrow"/>
        <family val="2"/>
      </rPr>
      <t xml:space="preserve">
</t>
    </r>
    <r>
      <rPr>
        <i/>
        <sz val="10"/>
        <color rgb="FF000000"/>
        <rFont val="Aptos Narrow"/>
        <family val="2"/>
      </rPr>
      <t xml:space="preserve">Individuel 
</t>
    </r>
    <r>
      <rPr>
        <b/>
        <i/>
        <sz val="10"/>
        <color rgb="FF000000"/>
        <rFont val="Aptos Narrow"/>
        <family val="2"/>
      </rPr>
      <t>Ecrit</t>
    </r>
    <r>
      <rPr>
        <i/>
        <sz val="10"/>
        <color rgb="FF000000"/>
        <rFont val="Aptos Narrow"/>
        <family val="2"/>
      </rPr>
      <t xml:space="preserve"> - Fin mai/début juin
</t>
    </r>
    <r>
      <rPr>
        <b/>
        <i/>
        <sz val="10"/>
        <color rgb="FF000000"/>
        <rFont val="Aptos Narrow"/>
        <family val="2"/>
      </rPr>
      <t>Oral</t>
    </r>
    <r>
      <rPr>
        <i/>
        <sz val="10"/>
        <color rgb="FF000000"/>
        <rFont val="Aptos Narrow"/>
        <family val="2"/>
      </rPr>
      <t xml:space="preserve"> - début juillet</t>
    </r>
  </si>
  <si>
    <r>
      <rPr>
        <b/>
        <sz val="9"/>
        <color rgb="FF000000"/>
        <rFont val="Aptos Narrow"/>
        <family val="2"/>
      </rPr>
      <t>C.3</t>
    </r>
    <r>
      <rPr>
        <sz val="9"/>
        <color rgb="FF000000"/>
        <rFont val="Aptos Narrow"/>
        <family val="2"/>
      </rPr>
      <t xml:space="preserve"> Piloter la réalisation d’études qualitatives et quantitatives associant l’exploitation de données massives internes ou externes, en définissant leur objet, périmètre, cadre méthodologique et objectifs, afin de disposer des éléments d’analyse fiables et objectifs nécessaires à la prise de décision stratégique de la marque.
</t>
    </r>
    <r>
      <rPr>
        <b/>
        <sz val="9"/>
        <color rgb="FF000000"/>
        <rFont val="Aptos Narrow"/>
        <family val="2"/>
      </rPr>
      <t>C.4</t>
    </r>
    <r>
      <rPr>
        <sz val="9"/>
        <color rgb="FF000000"/>
        <rFont val="Aptos Narrow"/>
        <family val="2"/>
      </rPr>
      <t xml:space="preserve"> Interpréter les résultats des études produites, en mobilisant les méthodes, matrices et modèles d’analyse adéquats, afin de préconiser les orientations présidant à l’élaboration et/ou à l’amélioration de la stratégie marketing de la marque au regard de son marché et des attentes et aspirations évolutives de son public cible, incluant les dimensions éthiques, sociétales et environnementales.</t>
    </r>
  </si>
  <si>
    <r>
      <rPr>
        <b/>
        <sz val="9"/>
        <color rgb="FFFF0000"/>
        <rFont val="Aptos Narrow"/>
        <family val="2"/>
      </rPr>
      <t>E2 La réalisation d'une plateforme de marque</t>
    </r>
    <r>
      <rPr>
        <sz val="9"/>
        <color rgb="FF000000"/>
        <rFont val="Aptos Narrow"/>
        <family val="2"/>
      </rPr>
      <t xml:space="preserve">
conçue à partir d’études sur son marché et d’une 
démarche d’investigation sur son environnement interne
</t>
    </r>
    <r>
      <rPr>
        <b/>
        <sz val="9"/>
        <color rgb="FF000000"/>
        <rFont val="Aptos Narrow"/>
        <family val="2"/>
      </rPr>
      <t>1 ECRIT Hors centre 4 mois 
INDIVIDUEL  </t>
    </r>
  </si>
  <si>
    <t>Méthodologie Pack Marque</t>
  </si>
  <si>
    <t>C3 à C6</t>
  </si>
  <si>
    <t>Etudes marketing stratégique et communication omnicanale</t>
  </si>
  <si>
    <t>C3</t>
  </si>
  <si>
    <t xml:space="preserve">Insights et Analyse consommateurs </t>
  </si>
  <si>
    <t>C4</t>
  </si>
  <si>
    <t>A.3 Réalisation du diagnostic marketing de la marque</t>
  </si>
  <si>
    <r>
      <rPr>
        <b/>
        <sz val="9"/>
        <color rgb="FF000000"/>
        <rFont val="Aptos Narrow"/>
        <family val="2"/>
      </rPr>
      <t>C.5</t>
    </r>
    <r>
      <rPr>
        <sz val="9"/>
        <color rgb="FF000000"/>
        <rFont val="Aptos Narrow"/>
        <family val="2"/>
      </rPr>
      <t xml:space="preserve"> Analyser le positionnement et l’identité de la marque, en s’appuyant sur une méthode d’investigation associant matériaux documentaires, entretiens, ateliers ou observations directes et engageant une démarche collaborative associant ses parties prenantes internes, afin d’identifier ses caractères distinctifs.
</t>
    </r>
    <r>
      <rPr>
        <b/>
        <sz val="9"/>
        <color rgb="FF000000"/>
        <rFont val="Aptos Narrow"/>
        <family val="2"/>
      </rPr>
      <t>C.6</t>
    </r>
    <r>
      <rPr>
        <sz val="9"/>
        <color rgb="FF000000"/>
        <rFont val="Aptos Narrow"/>
        <family val="2"/>
      </rPr>
      <t xml:space="preserve"> Clarifier le positionnement et la proposition de valeur de la marque incluant ses engagements sur les plans éthique, sociétal et environnemental, en définissant ses caractères distinctifs et avantages concurrentiels au regard de son offre produit/service et son public cible, afin d’élaborer la plateforme de marque constituant le référentiel de sa stratégie marketing et communication.</t>
    </r>
  </si>
  <si>
    <t>Analyse de la stratégie de positionnement de la marque</t>
  </si>
  <si>
    <t>C5, C6</t>
  </si>
  <si>
    <t xml:space="preserve">Eloquence et préparation à l'épreuve de certification orale </t>
  </si>
  <si>
    <t>S2</t>
  </si>
  <si>
    <t>TC BC2 : Elaborer une stratégie marketing communication alignée avec les valeurs de la marque et favorisant l’engagement de son public cible</t>
  </si>
  <si>
    <t>A.4 Définition des orientations stratégiques marketing communication de la marque</t>
  </si>
  <si>
    <r>
      <t xml:space="preserve">BC02 - A.4-A.5 EC
</t>
    </r>
    <r>
      <rPr>
        <b/>
        <sz val="10"/>
        <color theme="5"/>
        <rFont val="Aptos Narrow"/>
        <family val="2"/>
      </rPr>
      <t>MEGAKA</t>
    </r>
    <r>
      <rPr>
        <sz val="10"/>
        <color rgb="FF000000"/>
        <rFont val="Aptos Narrow"/>
        <family val="2"/>
      </rPr>
      <t xml:space="preserve"> 
</t>
    </r>
    <r>
      <rPr>
        <i/>
        <sz val="10"/>
        <color rgb="FF000000"/>
        <rFont val="Aptos Narrow"/>
        <family val="2"/>
      </rPr>
      <t xml:space="preserve">Individuel
</t>
    </r>
    <r>
      <rPr>
        <b/>
        <i/>
        <sz val="10"/>
        <color rgb="FF000000"/>
        <rFont val="Aptos Narrow"/>
        <family val="2"/>
      </rPr>
      <t xml:space="preserve">Ecrit </t>
    </r>
    <r>
      <rPr>
        <i/>
        <sz val="10"/>
        <color rgb="FF000000"/>
        <rFont val="Aptos Narrow"/>
        <family val="2"/>
      </rPr>
      <t xml:space="preserve">- Fin mai/début juin
</t>
    </r>
    <r>
      <rPr>
        <b/>
        <i/>
        <sz val="10"/>
        <color rgb="FF000000"/>
        <rFont val="Aptos Narrow"/>
        <family val="2"/>
      </rPr>
      <t xml:space="preserve">Oral </t>
    </r>
    <r>
      <rPr>
        <i/>
        <sz val="10"/>
        <color rgb="FF000000"/>
        <rFont val="Aptos Narrow"/>
        <family val="2"/>
      </rPr>
      <t>- début juillet</t>
    </r>
  </si>
  <si>
    <r>
      <t>C.7</t>
    </r>
    <r>
      <rPr>
        <sz val="9"/>
        <color rgb="FF000000"/>
        <rFont val="Aptos Narrow"/>
        <family val="2"/>
      </rPr>
      <t xml:space="preserve"> Fixer les objectifs assignés à la stratégie marketing communication sur les plans qualitatifs et quantitatifs (notoriété, génération de leads ou de vente…), en précisant leur nature et en prenant en considération les projets de développement de l’entreprise et les opportunités portées par son marché, afin de disposer de repères spécifiques, mesurables, réalistes, pertinents et limités dans le temps pour cadrer son pilotage et son évaluation.</t>
    </r>
    <r>
      <rPr>
        <b/>
        <sz val="9"/>
        <color rgb="FF000000"/>
        <rFont val="Aptos Narrow"/>
        <family val="2"/>
      </rPr>
      <t xml:space="preserve">
C.8</t>
    </r>
    <r>
      <rPr>
        <sz val="9"/>
        <color rgb="FF000000"/>
        <rFont val="Aptos Narrow"/>
        <family val="2"/>
      </rPr>
      <t xml:space="preserve"> Déterminer le cœur de cible et les cibles secondaires de la marque, en les caractérisant selon des critères descriptifs, socio-comportementaux, intentionnistes et affinitaires, et en établissant la segmentation de son marché, afin de définir une approche adaptée – voire personnalisée – pour chacune d’elles.</t>
    </r>
    <r>
      <rPr>
        <b/>
        <sz val="9"/>
        <color rgb="FF000000"/>
        <rFont val="Aptos Narrow"/>
        <family val="2"/>
      </rPr>
      <t xml:space="preserve">
C.9</t>
    </r>
    <r>
      <rPr>
        <sz val="9"/>
        <color rgb="FF000000"/>
        <rFont val="Aptos Narrow"/>
        <family val="2"/>
      </rPr>
      <t xml:space="preserve"> Définir le ou les axe(s) de communication à privilégier exprimant la proposition de valeur de la marque et déclinant ses engagements sur le plan de la RSE, en s’assurant de leur adaptation à son public et à ses attentes et aspirations, afin de favoriser son adhésion et son engagement.</t>
    </r>
  </si>
  <si>
    <r>
      <rPr>
        <b/>
        <sz val="9"/>
        <color rgb="FFFF0000"/>
        <rFont val="Aptos Narrow"/>
        <family val="2"/>
      </rPr>
      <t>E3 Rédaction d'une proposition de stratégie marketing 
communication</t>
    </r>
    <r>
      <rPr>
        <sz val="9"/>
        <color rgb="FF000000"/>
        <rFont val="Aptos Narrow"/>
        <family val="2"/>
      </rPr>
      <t xml:space="preserve"> intégrant : 
• Les recommandations d’axes stratégiques, leur 
déclinaison en actions marketing et communication et 
leur traduction financière.
• Les recommandations stratégiques prennent en 
compte et présente l’entreprise, son environnement et 
sa plateforme de marque.
• La politique RSE de l’entreprise doit nécessairement 
être traduite dans les orientations proposées.
• Les actions concrétisant les orientations stratégiques 
doivent être justifiées au regard de leur intérêt démontré 
par l’étude de leur ROI potentiel.
</t>
    </r>
    <r>
      <rPr>
        <b/>
        <sz val="9"/>
        <color rgb="FF000000"/>
        <rFont val="Aptos Narrow"/>
        <family val="2"/>
      </rPr>
      <t xml:space="preserve">1 ECRIT Hors centre 2 mois 
INDIVIDUEL  
</t>
    </r>
  </si>
  <si>
    <r>
      <rPr>
        <b/>
        <sz val="9"/>
        <color rgb="FFFF0000"/>
        <rFont val="Aptos Narrow"/>
        <family val="2"/>
      </rPr>
      <t>1 ORAL 30 minutes :</t>
    </r>
    <r>
      <rPr>
        <sz val="9"/>
        <color rgb="FF000000"/>
        <rFont val="Aptos Narrow"/>
        <family val="2"/>
      </rPr>
      <t xml:space="preserve">
• 15 minutes de présentation
• 15 minutes de questions/réponses
• A programmer 1 semaine minimum après le rendu du 
livrable
• Présentation de la note d'orientation stratégique.
Justification des orientations, , en les mettant en relation 
avec la problématique de la marque et le diagnostic de 
son environnement interne/externe</t>
    </r>
  </si>
  <si>
    <t xml:space="preserve">Elaboration de la stratégie de marque (plateforme de marque) </t>
  </si>
  <si>
    <t>C7 à C9</t>
  </si>
  <si>
    <t>Brand content : Editorialisation et narration de marque</t>
  </si>
  <si>
    <t>C8</t>
  </si>
  <si>
    <t xml:space="preserve">Fondamentaux de la RSE/ ESS </t>
  </si>
  <si>
    <t>C9</t>
  </si>
  <si>
    <t>A.5 Evaluation et définition des conditions de déploiement des orientations stratégiques marketing communication de la marque</t>
  </si>
  <si>
    <r>
      <rPr>
        <b/>
        <sz val="9"/>
        <color rgb="FF000000"/>
        <rFont val="Aptos Narrow"/>
        <family val="2"/>
      </rPr>
      <t>C.10</t>
    </r>
    <r>
      <rPr>
        <sz val="9"/>
        <color rgb="FF000000"/>
        <rFont val="Aptos Narrow"/>
        <family val="2"/>
      </rPr>
      <t xml:space="preserve"> Choisir les canaux, modalités de communication et outils associés selon une approche omnicanal et favorisant l’exploitation des nouvelles technologies, en s’appuyant sur l’analyse et la prise en compte des usages du public cible et de ses points de contact avec la marque, afin de toucher de façon efficiente son public cible.
</t>
    </r>
    <r>
      <rPr>
        <b/>
        <sz val="9"/>
        <color rgb="FF000000"/>
        <rFont val="Aptos Narrow"/>
        <family val="2"/>
      </rPr>
      <t>C.11</t>
    </r>
    <r>
      <rPr>
        <sz val="9"/>
        <color rgb="FF000000"/>
        <rFont val="Aptos Narrow"/>
        <family val="2"/>
      </rPr>
      <t xml:space="preserve"> Evaluer l’opportunité et l’intérêt des actions déclinant la stratégie marketing communication, en produisant l’estimation de leur ROI et en tenant compte des objectifs poursuivis, afin de déterminer lesquelles choisir.
</t>
    </r>
    <r>
      <rPr>
        <b/>
        <sz val="9"/>
        <color rgb="FF000000"/>
        <rFont val="Aptos Narrow"/>
        <family val="2"/>
      </rPr>
      <t>C.12</t>
    </r>
    <r>
      <rPr>
        <sz val="9"/>
        <color rgb="FF000000"/>
        <rFont val="Aptos Narrow"/>
        <family val="2"/>
      </rPr>
      <t xml:space="preserve"> Etablir la projection financière de la stratégie marketing communication à conduire, en estimant le coût global des différentes actions associées, afin de négocier avec sa direction l’allocation de moyens suffisants pour sa mise en œuvre.</t>
    </r>
  </si>
  <si>
    <t>Plan Marketing et de communication,  et Mediaplanning</t>
  </si>
  <si>
    <t>C10</t>
  </si>
  <si>
    <t>Référencements (SEO, SEA, SMO, SMA)</t>
  </si>
  <si>
    <t xml:space="preserve">Adobe - outils créatifs numériques au service de la strat </t>
  </si>
  <si>
    <t>Photographie : techniques de prise de vue</t>
  </si>
  <si>
    <t xml:space="preserve">Fabrication : de l'idée à la réalisation </t>
  </si>
  <si>
    <t>Wordpress</t>
  </si>
  <si>
    <t>Budget Pilotage financier &amp; négociation</t>
  </si>
  <si>
    <t>C11,C12</t>
  </si>
  <si>
    <t>TD : Accompagnement Mégaka</t>
  </si>
  <si>
    <t>Spécialisation</t>
  </si>
  <si>
    <t>SPE BLOC 5 : Engager l’innovation et la transformation digitale de la communication de la marque (Strat de Marque et transformation digitale)</t>
  </si>
  <si>
    <t>ANNEE 2</t>
  </si>
  <si>
    <t>A.9-II Engagement de l’innovation et de la transformation digitale de la communication de la marque</t>
  </si>
  <si>
    <r>
      <rPr>
        <b/>
        <sz val="10"/>
        <color rgb="FF000000"/>
        <rFont val="Aptos Narrow"/>
        <family val="2"/>
      </rPr>
      <t xml:space="preserve"> BC05 - A9 II  EC
</t>
    </r>
    <r>
      <rPr>
        <b/>
        <sz val="10"/>
        <color theme="5" tint="-0.249977111117893"/>
        <rFont val="Aptos Narrow"/>
        <family val="2"/>
      </rPr>
      <t xml:space="preserve">PPI </t>
    </r>
    <r>
      <rPr>
        <sz val="10"/>
        <color rgb="FF000000"/>
        <rFont val="Aptos Narrow"/>
        <family val="2"/>
      </rPr>
      <t xml:space="preserve">
</t>
    </r>
    <r>
      <rPr>
        <i/>
        <sz val="10"/>
        <color rgb="FF000000"/>
        <rFont val="Aptos Narrow"/>
        <family val="2"/>
      </rPr>
      <t>Individuel écrit/oral
(Année 2)</t>
    </r>
  </si>
  <si>
    <r>
      <rPr>
        <b/>
        <sz val="10"/>
        <color rgb="FF000000"/>
        <rFont val="Aptos Narrow"/>
        <family val="2"/>
      </rPr>
      <t>C.20-II</t>
    </r>
    <r>
      <rPr>
        <sz val="10"/>
        <color rgb="FF000000"/>
        <rFont val="Aptos Narrow"/>
        <family val="2"/>
      </rPr>
      <t xml:space="preserve"> Identifier les facteurs de rupture et d’innovation principalement liés aux technologies digitales et aux modèles économiques émergents qui leur sont associés, en s’appuyant sur une veille prospective, afin de définir une  stratégie d’innovation porteuse de développement pour la marque et optimisant sa visibilité et son positionnement au sein de son écosystème.
</t>
    </r>
    <r>
      <rPr>
        <b/>
        <sz val="10"/>
        <color rgb="FF000000"/>
        <rFont val="Aptos Narrow"/>
        <family val="2"/>
      </rPr>
      <t>C.21-II</t>
    </r>
    <r>
      <rPr>
        <sz val="10"/>
        <color rgb="FF000000"/>
        <rFont val="Aptos Narrow"/>
        <family val="2"/>
      </rPr>
      <t xml:space="preserve"> Déterminer les innovations à implémenter dans la stratégie marketing et communication de la marque et ses outils associés, en établissant leur processus de développement avec les différentes directions de l’entreprise et en identifiant les facteurs de risque devant être anticipés (cybersécurité, obligations règlementaires, dimension RSE…), afin de les mettre en place en toute sécurité et dans le respect de l’éthique.
</t>
    </r>
    <r>
      <rPr>
        <b/>
        <sz val="10"/>
        <color rgb="FF000000"/>
        <rFont val="Aptos Narrow"/>
        <family val="2"/>
      </rPr>
      <t>C.22-II</t>
    </r>
    <r>
      <rPr>
        <sz val="10"/>
        <color rgb="FF000000"/>
        <rFont val="Aptos Narrow"/>
        <family val="2"/>
      </rPr>
      <t xml:space="preserve"> Définir les stratégies d’accompagnement des acteurs internes à mettre en place, en choisissant les modalités permettant de les impliquer et de surmonter les éventuelles résistances pouvant être rencontrées, afin d’optimiser la mise en œuvre de l’innovation et de conduire le changement. </t>
    </r>
  </si>
  <si>
    <r>
      <rPr>
        <b/>
        <sz val="10"/>
        <rFont val="Aptos Narrow"/>
        <family val="2"/>
      </rPr>
      <t xml:space="preserve">Spé Marque &amp; transfo </t>
    </r>
    <r>
      <rPr>
        <sz val="10"/>
        <rFont val="Aptos Narrow"/>
        <family val="2"/>
      </rPr>
      <t>: Benchmarking (analyse des strat concurrentielles)</t>
    </r>
  </si>
  <si>
    <t xml:space="preserve">C20 </t>
  </si>
  <si>
    <r>
      <rPr>
        <b/>
        <sz val="10"/>
        <rFont val="Aptos Narrow"/>
        <family val="2"/>
      </rPr>
      <t xml:space="preserve">Spé Marque &amp; transfo </t>
    </r>
    <r>
      <rPr>
        <sz val="10"/>
        <rFont val="Aptos Narrow"/>
        <family val="2"/>
      </rPr>
      <t>: Supports de communication innovants</t>
    </r>
  </si>
  <si>
    <t>C21</t>
  </si>
  <si>
    <r>
      <rPr>
        <b/>
        <sz val="10"/>
        <color rgb="FF000000"/>
        <rFont val="Aptos Narrow"/>
        <family val="2"/>
      </rPr>
      <t xml:space="preserve">Spé Marque &amp; transfo </t>
    </r>
    <r>
      <rPr>
        <sz val="10"/>
        <color rgb="FF000000"/>
        <rFont val="Aptos Narrow"/>
        <family val="2"/>
      </rPr>
      <t>: Référencement : Google Analytics (approfondissement)</t>
    </r>
  </si>
  <si>
    <t>C22</t>
  </si>
  <si>
    <r>
      <rPr>
        <b/>
        <sz val="10"/>
        <rFont val="Aptos Narrow"/>
        <family val="2"/>
      </rPr>
      <t xml:space="preserve">Spé Marque &amp; transfo </t>
    </r>
    <r>
      <rPr>
        <sz val="10"/>
        <rFont val="Aptos Narrow"/>
        <family val="2"/>
      </rPr>
      <t xml:space="preserve">: Design thinking </t>
    </r>
  </si>
  <si>
    <r>
      <rPr>
        <b/>
        <sz val="10"/>
        <color rgb="FF000000"/>
        <rFont val="Aptos Narrow"/>
        <family val="2"/>
      </rPr>
      <t xml:space="preserve">Spé Marque &amp; transfo </t>
    </r>
    <r>
      <rPr>
        <sz val="10"/>
        <color rgb="FF000000"/>
        <rFont val="Aptos Narrow"/>
        <family val="2"/>
      </rPr>
      <t>: Webdesign et Design responsive</t>
    </r>
  </si>
  <si>
    <r>
      <rPr>
        <b/>
        <sz val="10"/>
        <rFont val="Aptos Narrow"/>
        <family val="2"/>
      </rPr>
      <t xml:space="preserve">Spé Marque &amp; transfo </t>
    </r>
    <r>
      <rPr>
        <sz val="10"/>
        <rFont val="Aptos Narrow"/>
        <family val="2"/>
      </rPr>
      <t>: UX/UI</t>
    </r>
  </si>
  <si>
    <r>
      <rPr>
        <b/>
        <sz val="10"/>
        <color rgb="FF000000"/>
        <rFont val="Aptos Narrow"/>
        <family val="2"/>
      </rPr>
      <t xml:space="preserve">Spé Marque &amp; transfo </t>
    </r>
    <r>
      <rPr>
        <sz val="10"/>
        <color rgb="FF000000"/>
        <rFont val="Aptos Narrow"/>
        <family val="2"/>
      </rPr>
      <t>: Wordpress perfectionnement &amp; NoCode</t>
    </r>
  </si>
  <si>
    <t>SPE BLOC 6 : Développer la stratégie créative de la marque dans des supports et contenus originaux et innovants (Créa)</t>
  </si>
  <si>
    <t>A.9-III Développement de la stratégie créative de la marque dans des supports et contenus originaux et innovants</t>
  </si>
  <si>
    <r>
      <rPr>
        <b/>
        <sz val="10"/>
        <color rgb="FF000000"/>
        <rFont val="Aptos Narrow"/>
        <family val="2"/>
      </rPr>
      <t xml:space="preserve"> BC06 - A9 III  EC
</t>
    </r>
    <r>
      <rPr>
        <b/>
        <sz val="10"/>
        <color theme="5" tint="-0.249977111117893"/>
        <rFont val="Aptos Narrow"/>
        <family val="2"/>
      </rPr>
      <t>PPC</t>
    </r>
    <r>
      <rPr>
        <b/>
        <sz val="10"/>
        <color rgb="FF000000"/>
        <rFont val="Aptos Narrow"/>
        <family val="2"/>
      </rPr>
      <t xml:space="preserve">
</t>
    </r>
    <r>
      <rPr>
        <i/>
        <sz val="10"/>
        <color rgb="FF000000"/>
        <rFont val="Aptos Narrow"/>
        <family val="2"/>
      </rPr>
      <t>Individuel écrit/oral
(Année 2) </t>
    </r>
  </si>
  <si>
    <r>
      <rPr>
        <b/>
        <sz val="10"/>
        <color rgb="FF000000"/>
        <rFont val="Aptos Narrow"/>
        <family val="2"/>
      </rPr>
      <t>C.20-III</t>
    </r>
    <r>
      <rPr>
        <sz val="10"/>
        <color rgb="FF000000"/>
        <rFont val="Aptos Narrow"/>
        <family val="2"/>
      </rPr>
      <t xml:space="preserve"> Définir les axes générateurs des contenus de la marque, en traduisant l’expression de sa proposition de valeur et de son message en concepts créatifs tenant compte des caractéristiques, besoins et aspirations de son public cible, afin de canaliser le travail des équipes créatives.
</t>
    </r>
    <r>
      <rPr>
        <b/>
        <sz val="10"/>
        <color rgb="FF000000"/>
        <rFont val="Aptos Narrow"/>
        <family val="2"/>
      </rPr>
      <t>C.21-III</t>
    </r>
    <r>
      <rPr>
        <sz val="10"/>
        <color rgb="FF000000"/>
        <rFont val="Aptos Narrow"/>
        <family val="2"/>
      </rPr>
      <t xml:space="preserve"> Générer des idées originales et innovantes de contenus de marque et de nouveaux formats, en s’assurant de l’adéquation des propositions des équipes créatives avec l’identité de la marque, les attentes de la cible et les canaux et supports utilisés, afin de capter l’attention et d’engager l’audience du public visé.
</t>
    </r>
    <r>
      <rPr>
        <b/>
        <sz val="10"/>
        <color rgb="FF000000"/>
        <rFont val="Aptos Narrow"/>
        <family val="2"/>
      </rPr>
      <t>C.22-III</t>
    </r>
    <r>
      <rPr>
        <sz val="10"/>
        <color rgb="FF000000"/>
        <rFont val="Aptos Narrow"/>
        <family val="2"/>
      </rPr>
      <t xml:space="preserve"> Concrétiser les idées générées dans les différents canaux et supports de communication de la marque, en déployant des techniques narratives et de design privilégiant l’interactivité et favorisant la réussite et l’empreinte durable de l’expérience utilisateur, afin de susciter l’engagement et l’adhésion du public cible.</t>
    </r>
  </si>
  <si>
    <r>
      <rPr>
        <b/>
        <sz val="10"/>
        <color rgb="FF000000"/>
        <rFont val="Aptos Narrow"/>
        <family val="2"/>
      </rPr>
      <t>Spé Srat Créa</t>
    </r>
    <r>
      <rPr>
        <sz val="10"/>
        <color rgb="FF000000"/>
        <rFont val="Aptos Narrow"/>
        <family val="2"/>
      </rPr>
      <t xml:space="preserve"> : Histoire de l'art et tendances contemporaines</t>
    </r>
  </si>
  <si>
    <t>C20</t>
  </si>
  <si>
    <r>
      <rPr>
        <b/>
        <sz val="10"/>
        <rFont val="Aptos Narrow"/>
        <family val="2"/>
      </rPr>
      <t>Spé Strat Créa</t>
    </r>
    <r>
      <rPr>
        <sz val="10"/>
        <rFont val="Aptos Narrow"/>
        <family val="2"/>
      </rPr>
      <t xml:space="preserve"> : Direction artistique </t>
    </r>
  </si>
  <si>
    <r>
      <rPr>
        <b/>
        <sz val="10"/>
        <color rgb="FF000000"/>
        <rFont val="Aptos Narrow"/>
        <family val="2"/>
      </rPr>
      <t>Spé Strat Créa</t>
    </r>
    <r>
      <rPr>
        <sz val="10"/>
        <color rgb="FF000000"/>
        <rFont val="Aptos Narrow"/>
        <family val="2"/>
      </rPr>
      <t xml:space="preserve"> : Créativité et pensée innovante </t>
    </r>
  </si>
  <si>
    <r>
      <rPr>
        <b/>
        <sz val="10"/>
        <color rgb="FF000000"/>
        <rFont val="Aptos Narrow"/>
        <family val="2"/>
      </rPr>
      <t>Spé Strat Créa</t>
    </r>
    <r>
      <rPr>
        <sz val="10"/>
        <color rgb="FF000000"/>
        <rFont val="Aptos Narrow"/>
        <family val="2"/>
      </rPr>
      <t xml:space="preserve"> : Éthique professionnelle (propriété artistique, intellectuelle,…)</t>
    </r>
  </si>
  <si>
    <r>
      <rPr>
        <b/>
        <sz val="10"/>
        <color rgb="FF000000"/>
        <rFont val="Aptos Narrow"/>
        <family val="2"/>
      </rPr>
      <t>Spé Strat Créa</t>
    </r>
    <r>
      <rPr>
        <sz val="10"/>
        <color rgb="FF000000"/>
        <rFont val="Aptos Narrow"/>
        <family val="2"/>
      </rPr>
      <t xml:space="preserve"> : Fabrication : RSE et communication visuelle responsable</t>
    </r>
  </si>
  <si>
    <r>
      <rPr>
        <b/>
        <sz val="10"/>
        <color rgb="FF000000"/>
        <rFont val="Aptos Narrow"/>
        <family val="2"/>
      </rPr>
      <t>Spé Strat Créa</t>
    </r>
    <r>
      <rPr>
        <sz val="10"/>
        <color rgb="FF000000"/>
        <rFont val="Aptos Narrow"/>
        <family val="2"/>
      </rPr>
      <t xml:space="preserve"> : Outils créatifs et worflow collaboratif (Figma, Notion...)</t>
    </r>
  </si>
  <si>
    <r>
      <rPr>
        <b/>
        <sz val="10"/>
        <color rgb="FF000000"/>
        <rFont val="Aptos Narrow"/>
        <family val="2"/>
      </rPr>
      <t>Spé Strat Créa</t>
    </r>
    <r>
      <rPr>
        <sz val="10"/>
        <color rgb="FF000000"/>
        <rFont val="Aptos Narrow"/>
        <family val="2"/>
      </rPr>
      <t xml:space="preserve"> : PAO/Adobe : Logotype &amp; typo</t>
    </r>
  </si>
  <si>
    <r>
      <rPr>
        <b/>
        <sz val="10"/>
        <color rgb="FF000000"/>
        <rFont val="Aptos Narrow"/>
        <family val="2"/>
      </rPr>
      <t>Spé Strat Créa</t>
    </r>
    <r>
      <rPr>
        <sz val="10"/>
        <color rgb="FF000000"/>
        <rFont val="Aptos Narrow"/>
        <family val="2"/>
      </rPr>
      <t xml:space="preserve"> : Adobe Première</t>
    </r>
  </si>
  <si>
    <r>
      <rPr>
        <b/>
        <sz val="10"/>
        <color rgb="FF000000"/>
        <rFont val="Aptos Narrow"/>
        <family val="2"/>
      </rPr>
      <t>Spé Strat Créa</t>
    </r>
    <r>
      <rPr>
        <sz val="10"/>
        <color rgb="FF000000"/>
        <rFont val="Aptos Narrow"/>
        <family val="2"/>
      </rPr>
      <t xml:space="preserve"> : Adobe : Montage Photo</t>
    </r>
  </si>
  <si>
    <t>Bloc transversal</t>
  </si>
  <si>
    <t xml:space="preserve">Accueil en formation / intégration </t>
  </si>
  <si>
    <t>S1</t>
  </si>
  <si>
    <t>-</t>
  </si>
  <si>
    <t>Anglais professionnel de la communication</t>
  </si>
  <si>
    <t>C1 à C22</t>
  </si>
  <si>
    <t> Vocabulaire professionnel, Production de rapports bilingues, environnement international de la marque, interculturalité</t>
  </si>
  <si>
    <t>Séminaire d'intégration et de remise à niveau PAO</t>
  </si>
  <si>
    <t>BC1-2</t>
  </si>
  <si>
    <t>Séminaire d'intégration et de remise à niveau Vidéo</t>
  </si>
  <si>
    <t>Séminaire d'intégration et de remise à niveau Photo</t>
  </si>
  <si>
    <t xml:space="preserve">BT : Ateliers / Worshop/ séminaire </t>
  </si>
  <si>
    <t>Bloc transversal : Compétitions</t>
  </si>
  <si>
    <t>Méthodologie Compétition</t>
  </si>
  <si>
    <r>
      <t xml:space="preserve">Compétition M1 </t>
    </r>
    <r>
      <rPr>
        <sz val="10"/>
        <color rgb="FFFF0000"/>
        <rFont val="Aptos Narrow"/>
        <family val="2"/>
      </rPr>
      <t>(7 au 11 JUIN)</t>
    </r>
  </si>
  <si>
    <t xml:space="preserve">émargements ! RP </t>
  </si>
  <si>
    <t>Epreuves de certification</t>
  </si>
  <si>
    <t>Ecrit Pack Marque (BC01) Rendu de dossier début juin</t>
  </si>
  <si>
    <t>BC1</t>
  </si>
  <si>
    <t>Ecrit individuel</t>
  </si>
  <si>
    <t>Rendu de dossier début juin</t>
  </si>
  <si>
    <t>Oral Pack Marque (BC01) Soutenance juillet</t>
  </si>
  <si>
    <t>Oral Individuel</t>
  </si>
  <si>
    <t>Soutenance juillet</t>
  </si>
  <si>
    <t>max 14 ét/jour donc 2 jurys par promo</t>
  </si>
  <si>
    <t>Ecrit Mégaka (BC02) Rendu de dossier début juin</t>
  </si>
  <si>
    <t>BC2</t>
  </si>
  <si>
    <t>Oral Mégaka (BC02) Soutenance juillet</t>
  </si>
  <si>
    <t>à positionner au printemps</t>
  </si>
  <si>
    <t xml:space="preserve">itou </t>
  </si>
  <si>
    <t>Total Volumétries</t>
  </si>
  <si>
    <t>Volumétrie cible calendaire :</t>
  </si>
  <si>
    <t xml:space="preserve"> </t>
  </si>
  <si>
    <t>Volumétrie cible FFP :</t>
  </si>
  <si>
    <t xml:space="preserve">Manager des stratégies marketing et communication
Année 2 </t>
  </si>
  <si>
    <t>TC Bloc 3 : Piloter le déploiement d’une stratégie marketing communication responsable</t>
  </si>
  <si>
    <t xml:space="preserve">A.6 Cadrage de la réalisation des actions déclinant la stratégie marketing communication responsable  </t>
  </si>
  <si>
    <r>
      <t xml:space="preserve">BC03 - A6/A7/A8  EC
</t>
    </r>
    <r>
      <rPr>
        <b/>
        <sz val="10"/>
        <color theme="5"/>
        <rFont val="Aptos Narrow"/>
        <family val="2"/>
      </rPr>
      <t>PILO PLAN</t>
    </r>
    <r>
      <rPr>
        <sz val="10"/>
        <color theme="5"/>
        <rFont val="Aptos Narrow"/>
        <family val="2"/>
      </rPr>
      <t xml:space="preserve"> </t>
    </r>
    <r>
      <rPr>
        <sz val="10"/>
        <color rgb="FF000000"/>
        <rFont val="Aptos Narrow"/>
        <family val="2"/>
      </rPr>
      <t xml:space="preserve">
</t>
    </r>
    <r>
      <rPr>
        <i/>
        <sz val="10"/>
        <color rgb="FF000000"/>
        <rFont val="Aptos Narrow"/>
        <family val="2"/>
      </rPr>
      <t>Collectif et écrit/oral</t>
    </r>
    <r>
      <rPr>
        <b/>
        <i/>
        <sz val="10"/>
        <color rgb="FF000000"/>
        <rFont val="Aptos Narrow"/>
        <family val="2"/>
      </rPr>
      <t xml:space="preserve">
</t>
    </r>
    <r>
      <rPr>
        <i/>
        <sz val="10"/>
        <color rgb="FF000000"/>
        <rFont val="Aptos Narrow"/>
        <family val="2"/>
      </rPr>
      <t>(Année 2)</t>
    </r>
  </si>
  <si>
    <r>
      <rPr>
        <b/>
        <sz val="9"/>
        <color rgb="FF000000"/>
        <rFont val="Aptos Narrow"/>
        <family val="2"/>
      </rPr>
      <t>C.13</t>
    </r>
    <r>
      <rPr>
        <sz val="9"/>
        <color rgb="FF000000"/>
        <rFont val="Aptos Narrow"/>
        <family val="2"/>
      </rPr>
      <t xml:space="preserve"> Elaborer ou valider l’élaboration des documents de référence – cahier des charges, brief… – cadrant la réalisation des actions déclinant la stratégie marketing communication, en veillant à leur qualité formelle ainsi qu’à la présence de critères sociaux (inclusion, conditions de travail…) et environnementaux, afin de déployer des supports multiformats et des messages en cohérence avec le positionnement de la marque et ses engagements RSE.
</t>
    </r>
    <r>
      <rPr>
        <b/>
        <sz val="9"/>
        <color rgb="FF000000"/>
        <rFont val="Aptos Narrow"/>
        <family val="2"/>
      </rPr>
      <t>C.14</t>
    </r>
    <r>
      <rPr>
        <sz val="9"/>
        <color rgb="FF000000"/>
        <rFont val="Aptos Narrow"/>
        <family val="2"/>
      </rPr>
      <t xml:space="preserve"> Organiser globalement la mise en oeuvre des actions déclinant la stratégie marketing communication, en déterminant les méthodes de conduite de projet à mobiliser, en s’assurant de la cohérence de leur calendrier de réalisation et en définissant les outils permettant leur planification, leur suivi et leur évaluation, afin d’en maîtriser le déploiement et de minorer les risques de non respect des critères de coût, de qualité, de délai et de RSE.</t>
    </r>
  </si>
  <si>
    <r>
      <rPr>
        <b/>
        <sz val="9"/>
        <color rgb="FFFF0000"/>
        <rFont val="Aptos Narrow"/>
      </rPr>
      <t xml:space="preserve">E4 Réalisation d’un projet marketing communication 
</t>
    </r>
    <r>
      <rPr>
        <sz val="9"/>
        <color rgb="FF000000"/>
        <rFont val="Aptos Narrow"/>
      </rPr>
      <t xml:space="preserve">intégrant : 
• Les cahiers des charges à destination des équipes 
internes et fournisseurs,
• Le retroplanning de réalisation,
• L’organigramme de l’écosystème et de l’équipe projet 
avec précision des rôles, missions et attributions 
respectifs.
• Les outils de pilotage du projet.
• Les outils de sélection et d’évaluation fournisseurs.
• Le rapport d’expérience et d’étonnement sur la 
dimension managériale – à la fois méthodologique et 
relationnelle – de la conduite du projet.
• Le système d’évaluation de la performance de l’action 
réalisée et l’interprétation des résultats obtenus
</t>
    </r>
    <r>
      <rPr>
        <b/>
        <sz val="9"/>
        <color rgb="FF000000"/>
        <rFont val="Aptos Narrow"/>
      </rPr>
      <t xml:space="preserve">ECRIT COLLECTIF (Groupe de 2 à 3 )
</t>
    </r>
    <r>
      <rPr>
        <sz val="9"/>
        <color rgb="FF000000"/>
        <rFont val="Aptos Narrow"/>
      </rPr>
      <t xml:space="preserve">
</t>
    </r>
    <r>
      <rPr>
        <b/>
        <sz val="12"/>
        <color rgb="FF000000"/>
        <rFont val="Aptos Narrow"/>
      </rPr>
      <t xml:space="preserve">+
</t>
    </r>
    <r>
      <rPr>
        <b/>
        <sz val="9"/>
        <color rgb="FFFF0000"/>
        <rFont val="Aptos Narrow"/>
      </rPr>
      <t>E5 Une note réflexive / retour d'expérience</t>
    </r>
    <r>
      <rPr>
        <sz val="9"/>
        <color rgb="FF000000"/>
        <rFont val="Aptos Narrow"/>
      </rPr>
      <t xml:space="preserve"> : 
analyse de sa participation à l'élaboration 
d'une stratégie en équipe en indiquant la 
manière dont il a contribué au projet, les 
difficultés rencontrées
et en proposant des actions permettant 
de surpasser les difficultés.
</t>
    </r>
    <r>
      <rPr>
        <b/>
        <sz val="9"/>
        <color rgb="FF000000"/>
        <rFont val="Aptos Narrow"/>
      </rPr>
      <t xml:space="preserve">ECRIT INDIVIDUEL HORS MURS </t>
    </r>
  </si>
  <si>
    <r>
      <rPr>
        <b/>
        <sz val="9"/>
        <color rgb="FFFF0000"/>
        <rFont val="Aptos Narrow"/>
        <family val="2"/>
      </rPr>
      <t xml:space="preserve">1 ORAL 30 minutes par candidat :
</t>
    </r>
    <r>
      <rPr>
        <sz val="9"/>
        <color rgb="FF000000"/>
        <rFont val="Aptos Narrow"/>
        <family val="2"/>
      </rPr>
      <t xml:space="preserve">
• 15 minutes de présentation
• 15 minutes de questions/réponses
• A programmer 1 semaine minimum après le rendu du livrable
• Présentation de l'ensemble des livrables produits.
Mise en exergue des écarts entre les productions 
collectives et les productions individuelles, proposant ainsi 
un regard réflexif sur son action et sa production. </t>
    </r>
  </si>
  <si>
    <t>Conception de projet</t>
  </si>
  <si>
    <t>C13</t>
  </si>
  <si>
    <t xml:space="preserve">Rédaction de Brief / Elevator Pitch / Rhétorique </t>
  </si>
  <si>
    <t>Droit appliqué aux stratégies de communication</t>
  </si>
  <si>
    <t>Planification Stratégique</t>
  </si>
  <si>
    <t>C13, C14</t>
  </si>
  <si>
    <t>Communication responsable &amp; durable</t>
  </si>
  <si>
    <t xml:space="preserve">Communication de crise </t>
  </si>
  <si>
    <r>
      <rPr>
        <b/>
        <sz val="9"/>
        <color rgb="FF000000"/>
        <rFont val="Aptos Narrow"/>
        <family val="2"/>
      </rPr>
      <t>C.15</t>
    </r>
    <r>
      <rPr>
        <sz val="9"/>
        <color rgb="FF000000"/>
        <rFont val="Aptos Narrow"/>
        <family val="2"/>
      </rPr>
      <t xml:space="preserve"> Constituer les équipes internes impliquées dans la réalisation des actions déclinant la stratégie marketing communication, en veillant à leur bon dimensionnement au regard des besoins de chaque projet et en veillant aux conditions d’inclusion des salariés en situation de handicap, afin de disposer de moyens humains nécessaires à leur réalisation.
</t>
    </r>
    <r>
      <rPr>
        <b/>
        <sz val="9"/>
        <color rgb="FF000000"/>
        <rFont val="Aptos Narrow"/>
        <family val="2"/>
      </rPr>
      <t>C.16</t>
    </r>
    <r>
      <rPr>
        <sz val="9"/>
        <color rgb="FF000000"/>
        <rFont val="Aptos Narrow"/>
        <family val="2"/>
      </rPr>
      <t xml:space="preserve"> Animer l’écosystème des parties prenantes impliquées dans la réalisation des actions marketing communication, en mettant en oeuvre un management de type collaboratif propice à l’innovation et contribuant à l’expression des talents individuels et l’émergence de l’intelligence collective, afin de favoriser l’agilité et la réactivité nécessaires à la réussite des actions conduites.
</t>
    </r>
    <r>
      <rPr>
        <b/>
        <sz val="9"/>
        <color rgb="FF000000"/>
        <rFont val="Aptos Narrow"/>
        <family val="2"/>
      </rPr>
      <t>C.17</t>
    </r>
    <r>
      <rPr>
        <sz val="9"/>
        <color rgb="FF000000"/>
        <rFont val="Aptos Narrow"/>
        <family val="2"/>
      </rPr>
      <t xml:space="preserve"> Gérer le portefeuille de prestataires et fournisseurs participant à la réalisation des actions de communication, en vérifiant l’alignement de leurs pratiques avec les engagements RSE de la marque et en entretenant avec eux des relations pérennes et équilibrées, afin de garantir la cohérence de la stratégie déployée sur le plan des valeurs sociales et environnementales.  </t>
    </r>
  </si>
  <si>
    <t>Audio-Vidéo : De la Pré-prod à la Post-prod</t>
  </si>
  <si>
    <t>C13,C14</t>
  </si>
  <si>
    <t>Audio-Vidéo : Motion vidéo</t>
  </si>
  <si>
    <t xml:space="preserve">A.7 Management des parties prenantes internes et externes impliquées dans le déploiement de la stratégie marketing communication responsable </t>
  </si>
  <si>
    <t>Management d'équipe &amp; conduite du changement</t>
  </si>
  <si>
    <t>C15</t>
  </si>
  <si>
    <t xml:space="preserve">Management de projet </t>
  </si>
  <si>
    <t>C16</t>
  </si>
  <si>
    <t>Management interculturel</t>
  </si>
  <si>
    <t>C15, C16, C17</t>
  </si>
  <si>
    <r>
      <t>C.18</t>
    </r>
    <r>
      <rPr>
        <sz val="9"/>
        <color rgb="FF000000"/>
        <rFont val="Aptos Narrow"/>
        <family val="2"/>
      </rPr>
      <t xml:space="preserve"> Organiser la mesure de l’impact de la stratégie marketing communication entreprise, en déterminant les données, critères et indicateurs de performance clés permettant d’en mesurer la portée (taux d’engagement,  ROI…), ainsi que les outils digitaux associés, afin d’évaluer son efficacité en continu et de disposer d’éléments d’analyse objectifs pour l’optimiser.</t>
    </r>
    <r>
      <rPr>
        <b/>
        <sz val="9"/>
        <color rgb="FF000000"/>
        <rFont val="Aptos Narrow"/>
        <family val="2"/>
      </rPr>
      <t xml:space="preserve">
C.19</t>
    </r>
    <r>
      <rPr>
        <sz val="9"/>
        <color rgb="FF000000"/>
        <rFont val="Aptos Narrow"/>
        <family val="2"/>
      </rPr>
      <t xml:space="preserve"> Interpréter les métriques restituant les résultats de la stratégie marketing communication entreprise, en utilisant des outils d’analyse et de visualisation digitalisés, afin de vérifier l’atteinte des objectifs définis ou d’en mesurer les écarts et, le cas échéant, de décider des mesures correctives à mettre en œuvre. </t>
    </r>
  </si>
  <si>
    <t>Management intergénérationnel et gestion des situations difficiles</t>
  </si>
  <si>
    <t>C15 à C17</t>
  </si>
  <si>
    <t>Négociation Commerciales &amp; Relations fournisseurs</t>
  </si>
  <si>
    <t>C17</t>
  </si>
  <si>
    <t>A.8 Evaluation continue des résultats du déploiement de la stratégie marketing communication et prise de décision de réorientation ou d’ajustement stratégique visant l’atteinte des objectifs définis</t>
  </si>
  <si>
    <t>Indicateurs-clés de performance : définition et organisation de la collecte</t>
  </si>
  <si>
    <t>C18</t>
  </si>
  <si>
    <t>Indicateurs-clés de performance : analytics &amp; Data visualisation (+Référencement SMA /SMO)</t>
  </si>
  <si>
    <t>C18, C19</t>
  </si>
  <si>
    <t>Méthodologie Bloc 3 et Ateliers de production PiloPlan (séances à étaler dans le semestre 2)</t>
  </si>
  <si>
    <t>Penser aux émargements lors des ateliers</t>
  </si>
  <si>
    <t>Rendu des livrables début juin</t>
  </si>
  <si>
    <t>SPE BLOC 5 : Engager l’innovation et la transformation digitale de la communication de la marque (Strat des marques et innovation)</t>
  </si>
  <si>
    <r>
      <rPr>
        <b/>
        <sz val="10"/>
        <color rgb="FFFF0000"/>
        <rFont val="Aptos Narrow"/>
        <family val="2"/>
      </rPr>
      <t>E6  Proposition de mise en place d’une transformation 
d’outils ou canaux marketing communication induite par 
une innovation de rupture </t>
    </r>
    <r>
      <rPr>
        <sz val="10"/>
        <color rgb="FF000000"/>
        <rFont val="Aptos Narrow"/>
        <family val="2"/>
      </rPr>
      <t xml:space="preserve">intégrant :
• La présentation du facteur de rupture d’ordre 
économique, technologique ou stratégique.
• Le plan de mise en place de la transformation sur une 
échéance de 2 à 5 ans.
• Le plan d’accompagnement au changement associé à 
la transformation
</t>
    </r>
    <r>
      <rPr>
        <b/>
        <sz val="10"/>
        <color rgb="FF000000"/>
        <rFont val="Aptos Narrow"/>
        <family val="2"/>
      </rPr>
      <t xml:space="preserve">ECRIT COLLECTIF (Groupe de 2 à 3 )
Semaine intensive
+
</t>
    </r>
    <r>
      <rPr>
        <b/>
        <sz val="10"/>
        <color rgb="FFFF0000"/>
        <rFont val="Aptos Narrow"/>
        <family val="2"/>
      </rPr>
      <t xml:space="preserve"> E7 Une note réflexive / retour d'expérience</t>
    </r>
    <r>
      <rPr>
        <b/>
        <sz val="10"/>
        <color rgb="FF000000"/>
        <rFont val="Aptos Narrow"/>
        <family val="2"/>
      </rPr>
      <t xml:space="preserve"> : 
</t>
    </r>
    <r>
      <rPr>
        <sz val="10"/>
        <color rgb="FF000000"/>
        <rFont val="Aptos Narrow"/>
        <family val="2"/>
      </rPr>
      <t>analyse de sa participation à l'élaboration 
d'une stratégie en équipe en indiquant  la 
manière dont il a contribué au projet, les 
difficultés rencontrées
et en proposant des actions permettant 
de surpasser les difficultés.</t>
    </r>
    <r>
      <rPr>
        <b/>
        <sz val="10"/>
        <color rgb="FF000000"/>
        <rFont val="Aptos Narrow"/>
        <family val="2"/>
      </rPr>
      <t xml:space="preserve">
ECRIT INDIVIDUEL</t>
    </r>
  </si>
  <si>
    <r>
      <rPr>
        <b/>
        <sz val="10"/>
        <color rgb="FFFF0000"/>
        <rFont val="Aptos Narrow"/>
        <family val="2"/>
      </rPr>
      <t>1 ORAL 30 minutes par candidat :</t>
    </r>
    <r>
      <rPr>
        <sz val="10"/>
        <color rgb="FF000000"/>
        <rFont val="Aptos Narrow"/>
        <family val="2"/>
      </rPr>
      <t xml:space="preserve">
• 15 minutes de présentation
• 15 minutes de questions/réponses
• A programmer 1 semaine minimum après le rendu du livrable
• Présentation de l’ensemble des livrables produits, à la 
fois collectivement et individuellement.
Mise en exergue les écarts entre les productions 
collectives et les productions individuelles, proposant ainsi 
un regard réflexif sur son action et sa production.</t>
    </r>
  </si>
  <si>
    <t>Spé Marque &amp; Transfo : Gestion de campagne Digitale</t>
  </si>
  <si>
    <t>C20 à C22</t>
  </si>
  <si>
    <t>Spé Marque &amp; Tranfo : Méthodes agiles de gestion de projet (SCRUM, etc.)</t>
  </si>
  <si>
    <t>Spé Marque &amp; Transfo : Méthodologie IAGen LLM &amp; Automatisation marketing</t>
  </si>
  <si>
    <t xml:space="preserve">C21 </t>
  </si>
  <si>
    <t>Spé Marque &amp; Transfo  : Droit des marques et de la communication digitale</t>
  </si>
  <si>
    <t>Spé Marque &amp; Transfo : Accompagnement PPI</t>
  </si>
  <si>
    <t>Hackathon Websérie</t>
  </si>
  <si>
    <r>
      <rPr>
        <b/>
        <sz val="10"/>
        <rFont val="Aptos Narrow"/>
        <family val="2"/>
      </rPr>
      <t>Spé Marque &amp; Transfo</t>
    </r>
    <r>
      <rPr>
        <sz val="10"/>
        <rFont val="Aptos Narrow"/>
        <family val="2"/>
      </rPr>
      <t xml:space="preserve">  (hackathon websérie) : </t>
    </r>
    <r>
      <rPr>
        <i/>
        <sz val="10"/>
        <rFont val="Aptos Narrow"/>
        <family val="2"/>
      </rPr>
      <t>Brand storytelling (storytelling de marque appliqué)</t>
    </r>
  </si>
  <si>
    <r>
      <rPr>
        <b/>
        <sz val="10"/>
        <rFont val="Aptos Narrow"/>
        <family val="2"/>
      </rPr>
      <t>Spé Marque</t>
    </r>
    <r>
      <rPr>
        <sz val="10"/>
        <rFont val="Aptos Narrow"/>
        <family val="2"/>
      </rPr>
      <t xml:space="preserve"> &amp; Transfo (hackathon websérie) : </t>
    </r>
    <r>
      <rPr>
        <i/>
        <sz val="10"/>
        <rFont val="Aptos Narrow"/>
        <family val="2"/>
      </rPr>
      <t xml:space="preserve">Méthodologie IA Gen : Scénarisation et storyboard </t>
    </r>
  </si>
  <si>
    <r>
      <rPr>
        <b/>
        <sz val="10"/>
        <rFont val="Aptos Narrow"/>
        <family val="2"/>
      </rPr>
      <t>Spé Marque &amp; Transo</t>
    </r>
    <r>
      <rPr>
        <sz val="10"/>
        <rFont val="Aptos Narrow"/>
        <family val="2"/>
      </rPr>
      <t xml:space="preserve">  (hackathon websérie) :</t>
    </r>
    <r>
      <rPr>
        <i/>
        <sz val="10"/>
        <rFont val="Aptos Narrow"/>
        <family val="2"/>
      </rPr>
      <t xml:space="preserve"> Markting digital et distribution (canaux / multicast) - Gestion de campagne</t>
    </r>
  </si>
  <si>
    <r>
      <rPr>
        <b/>
        <sz val="10"/>
        <rFont val="Aptos Narrow"/>
        <family val="2"/>
      </rPr>
      <t>Spé Marque</t>
    </r>
    <r>
      <rPr>
        <sz val="10"/>
        <rFont val="Aptos Narrow"/>
        <family val="2"/>
      </rPr>
      <t xml:space="preserve"> &amp; Transfo (hackathon websérie) :</t>
    </r>
    <r>
      <rPr>
        <i/>
        <sz val="10"/>
        <rFont val="Aptos Narrow"/>
        <family val="2"/>
      </rPr>
      <t xml:space="preserve"> Prod vidéo : captation multiformat (webdesign)</t>
    </r>
  </si>
  <si>
    <r>
      <rPr>
        <b/>
        <sz val="10"/>
        <rFont val="Aptos Narrow"/>
        <family val="2"/>
      </rPr>
      <t xml:space="preserve">Spé Marque &amp; Transfo </t>
    </r>
    <r>
      <rPr>
        <sz val="10"/>
        <rFont val="Aptos Narrow"/>
        <family val="2"/>
      </rPr>
      <t xml:space="preserve">  (hackathon websérie) :</t>
    </r>
    <r>
      <rPr>
        <i/>
        <sz val="10"/>
        <rFont val="Aptos Narrow"/>
        <family val="2"/>
      </rPr>
      <t xml:space="preserve"> TP - Production de la websérie en équipe</t>
    </r>
  </si>
  <si>
    <t>Hackathon Podcast</t>
  </si>
  <si>
    <r>
      <rPr>
        <b/>
        <sz val="10"/>
        <rFont val="Aptos Narrow"/>
        <family val="2"/>
      </rPr>
      <t>Spé Marque &amp; Transfo</t>
    </r>
    <r>
      <rPr>
        <sz val="10"/>
        <rFont val="Aptos Narrow"/>
        <family val="2"/>
      </rPr>
      <t xml:space="preserve">  (hackathon Podcast) :</t>
    </r>
    <r>
      <rPr>
        <i/>
        <sz val="10"/>
        <rFont val="Aptos Narrow"/>
        <family val="2"/>
      </rPr>
      <t xml:space="preserve"> Conception du contenu audio </t>
    </r>
  </si>
  <si>
    <r>
      <rPr>
        <b/>
        <sz val="10"/>
        <rFont val="Aptos Narrow"/>
        <family val="2"/>
      </rPr>
      <t>Spé Marque &amp; Transfo</t>
    </r>
    <r>
      <rPr>
        <sz val="10"/>
        <rFont val="Aptos Narrow"/>
        <family val="2"/>
      </rPr>
      <t xml:space="preserve">  (hackathon Podcast) :</t>
    </r>
    <r>
      <rPr>
        <i/>
        <sz val="10"/>
        <rFont val="Aptos Narrow"/>
        <family val="2"/>
      </rPr>
      <t xml:space="preserve"> techniques d'enregistrement et de montage </t>
    </r>
  </si>
  <si>
    <r>
      <rPr>
        <b/>
        <sz val="10"/>
        <rFont val="Aptos Narrow"/>
        <family val="2"/>
      </rPr>
      <t>Spé Marque &amp; Transfo</t>
    </r>
    <r>
      <rPr>
        <sz val="10"/>
        <rFont val="Aptos Narrow"/>
        <family val="2"/>
      </rPr>
      <t xml:space="preserve">  (hackathon Podcast) :</t>
    </r>
    <r>
      <rPr>
        <i/>
        <sz val="10"/>
        <rFont val="Aptos Narrow"/>
        <family val="2"/>
      </rPr>
      <t xml:space="preserve"> distribution et promotion  (gestion de campagne)</t>
    </r>
  </si>
  <si>
    <r>
      <rPr>
        <b/>
        <sz val="10"/>
        <rFont val="Aptos Narrow"/>
        <family val="2"/>
      </rPr>
      <t>Spé Marque &amp; Transfo</t>
    </r>
    <r>
      <rPr>
        <sz val="10"/>
        <rFont val="Aptos Narrow"/>
        <family val="2"/>
      </rPr>
      <t xml:space="preserve">  (hackathon Podcast) :</t>
    </r>
    <r>
      <rPr>
        <i/>
        <sz val="10"/>
        <rFont val="Aptos Narrow"/>
        <family val="2"/>
      </rPr>
      <t xml:space="preserve"> Mesures d'audience et Roi (référencements et analytics)</t>
    </r>
  </si>
  <si>
    <r>
      <rPr>
        <b/>
        <sz val="10"/>
        <rFont val="Aptos Narrow"/>
        <family val="2"/>
      </rPr>
      <t>Spé Marque &amp; Transfo</t>
    </r>
    <r>
      <rPr>
        <sz val="10"/>
        <rFont val="Aptos Narrow"/>
        <family val="2"/>
      </rPr>
      <t xml:space="preserve">  (hackathon Podcast) :</t>
    </r>
    <r>
      <rPr>
        <i/>
        <sz val="10"/>
        <rFont val="Aptos Narrow"/>
        <family val="2"/>
      </rPr>
      <t xml:space="preserve"> TP - Production du Podcast en équipe</t>
    </r>
  </si>
  <si>
    <t>Hackathon Media Tactique</t>
  </si>
  <si>
    <r>
      <rPr>
        <b/>
        <sz val="10"/>
        <color rgb="FF000000"/>
        <rFont val="Aptos Narrow"/>
        <family val="2"/>
      </rPr>
      <t>Spé Marque &amp; Transfo</t>
    </r>
    <r>
      <rPr>
        <sz val="10"/>
        <color rgb="FF000000"/>
        <rFont val="Aptos Narrow"/>
        <family val="2"/>
      </rPr>
      <t xml:space="preserve">  (hackathon Media) :</t>
    </r>
    <r>
      <rPr>
        <i/>
        <sz val="10"/>
        <color rgb="FF000000"/>
        <rFont val="Aptos Narrow"/>
        <family val="2"/>
      </rPr>
      <t xml:space="preserve"> Conception stratégique du jeu (media tactique) - Hist des ID et des médias</t>
    </r>
  </si>
  <si>
    <r>
      <rPr>
        <b/>
        <sz val="10"/>
        <color rgb="FF000000"/>
        <rFont val="Aptos Narrow"/>
        <family val="2"/>
      </rPr>
      <t>Spé Marque &amp; Transfo</t>
    </r>
    <r>
      <rPr>
        <sz val="10"/>
        <color rgb="FF000000"/>
        <rFont val="Aptos Narrow"/>
        <family val="2"/>
      </rPr>
      <t xml:space="preserve">  (hackathon Media) :</t>
    </r>
    <r>
      <rPr>
        <i/>
        <sz val="10"/>
        <color rgb="FF000000"/>
        <rFont val="Aptos Narrow"/>
        <family val="2"/>
      </rPr>
      <t xml:space="preserve"> Expérience utilisateur hybride (NoCode, IA…)</t>
    </r>
  </si>
  <si>
    <r>
      <rPr>
        <b/>
        <sz val="10"/>
        <color rgb="FF000000"/>
        <rFont val="Aptos Narrow"/>
        <family val="2"/>
      </rPr>
      <t>Spé Marque &amp; Transfo</t>
    </r>
    <r>
      <rPr>
        <sz val="10"/>
        <color rgb="FF000000"/>
        <rFont val="Aptos Narrow"/>
        <family val="2"/>
      </rPr>
      <t xml:space="preserve">  (hackathon Media) :</t>
    </r>
    <r>
      <rPr>
        <i/>
        <sz val="10"/>
        <color rgb="FF000000"/>
        <rFont val="Aptos Narrow"/>
        <family val="2"/>
      </rPr>
      <t xml:space="preserve"> Lancement et promotion (Design responsive…)</t>
    </r>
  </si>
  <si>
    <r>
      <rPr>
        <b/>
        <sz val="10"/>
        <color rgb="FF000000"/>
        <rFont val="Aptos Narrow"/>
        <family val="2"/>
      </rPr>
      <t>Spé Marque &amp; Transfo</t>
    </r>
    <r>
      <rPr>
        <sz val="10"/>
        <color rgb="FF000000"/>
        <rFont val="Aptos Narrow"/>
        <family val="2"/>
      </rPr>
      <t xml:space="preserve">  (hackathon Media) :</t>
    </r>
    <r>
      <rPr>
        <i/>
        <sz val="10"/>
        <color rgb="FF000000"/>
        <rFont val="Aptos Narrow"/>
        <family val="2"/>
      </rPr>
      <t xml:space="preserve"> TP - Production du jeu en équipe</t>
    </r>
  </si>
  <si>
    <r>
      <rPr>
        <b/>
        <sz val="10"/>
        <color rgb="FFFF0000"/>
        <rFont val="Aptos Narrow"/>
        <family val="2"/>
      </rPr>
      <t>E6 La proposition d’une stratégie créative de marque 
répondant à un brief client </t>
    </r>
    <r>
      <rPr>
        <sz val="10"/>
        <color rgb="FF000000"/>
        <rFont val="Aptos Narrow"/>
        <family val="2"/>
      </rPr>
      <t xml:space="preserve">intégrant : 
• Le pitch de la problématique de la marque et des axes 
générateurs de contenu.
• Plusieurs supports de communication, de différents 
formats et destinés à différents canaux, mobilisant 
nécessairement des techniques de narration 
originales
</t>
    </r>
    <r>
      <rPr>
        <b/>
        <sz val="10"/>
        <color rgb="FF000000"/>
        <rFont val="Aptos Narrow"/>
        <family val="2"/>
      </rPr>
      <t>ECRIT COLLECTIF (Groupe de 2 à 3 )
Semaine intensive</t>
    </r>
    <r>
      <rPr>
        <sz val="10"/>
        <color rgb="FF000000"/>
        <rFont val="Aptos Narrow"/>
        <family val="2"/>
      </rPr>
      <t xml:space="preserve">
</t>
    </r>
    <r>
      <rPr>
        <b/>
        <sz val="12"/>
        <color rgb="FF000000"/>
        <rFont val="Aptos Narrow"/>
        <family val="2"/>
      </rPr>
      <t>+</t>
    </r>
    <r>
      <rPr>
        <sz val="10"/>
        <color rgb="FF000000"/>
        <rFont val="Aptos Narrow"/>
        <family val="2"/>
      </rPr>
      <t xml:space="preserve">
</t>
    </r>
    <r>
      <rPr>
        <b/>
        <sz val="10"/>
        <color rgb="FFFF0000"/>
        <rFont val="Aptos Narrow"/>
        <family val="2"/>
      </rPr>
      <t xml:space="preserve"> E7 Une note réflexive / retour d'expérience : </t>
    </r>
    <r>
      <rPr>
        <sz val="10"/>
        <color rgb="FF000000"/>
        <rFont val="Aptos Narrow"/>
        <family val="2"/>
      </rPr>
      <t xml:space="preserve">
analyse de sa participation à l'élaboration 
d'une stratégie en équipe en indiquant  la 
manière dont il a contribué au projet, les 
difficultés rencontrées
et en proposant des actions permettant 
de surpasser les difficultés.
</t>
    </r>
    <r>
      <rPr>
        <b/>
        <sz val="10"/>
        <color rgb="FF000000"/>
        <rFont val="Aptos Narrow"/>
        <family val="2"/>
      </rPr>
      <t>ECRIT INDIVIDUEL</t>
    </r>
    <r>
      <rPr>
        <sz val="10"/>
        <color rgb="FF000000"/>
        <rFont val="Aptos Narrow"/>
        <family val="2"/>
      </rPr>
      <t xml:space="preserve">  (hors mur, prévoir date de rendu la semaine suivante l'écrit collectif en intensive)</t>
    </r>
  </si>
  <si>
    <r>
      <rPr>
        <b/>
        <sz val="10"/>
        <color rgb="FFFF0000"/>
        <rFont val="Aptos Narrow"/>
        <family val="2"/>
      </rPr>
      <t>1 ORAL 30 minutes par candidat</t>
    </r>
    <r>
      <rPr>
        <sz val="10"/>
        <color rgb="FF000000"/>
        <rFont val="Aptos Narrow"/>
        <family val="2"/>
      </rPr>
      <t xml:space="preserve"> :
• 15 minutes de présentation
• 15 minutes de questions/réponses
• A programmer 1 semaine minimum après le rendu du livrable
• Présentation de l’ensemble des livrables produits, à la 
fois collectivement et individuellement.
Mise en exergue les écarts entre les productions 
collectives et les productions individuelles, proposant ainsi 
un regard réflexif sur son action et sa production.</t>
    </r>
  </si>
  <si>
    <r>
      <rPr>
        <b/>
        <sz val="10"/>
        <color rgb="FF000000"/>
        <rFont val="Aptos Narrow"/>
        <family val="2"/>
      </rPr>
      <t>Spé Créa</t>
    </r>
    <r>
      <rPr>
        <sz val="10"/>
        <color rgb="FF000000"/>
        <rFont val="Aptos Narrow"/>
        <family val="2"/>
      </rPr>
      <t xml:space="preserve"> : Approfondissement Adobe After Effect</t>
    </r>
  </si>
  <si>
    <r>
      <rPr>
        <b/>
        <sz val="10"/>
        <rFont val="Aptos Narrow"/>
        <family val="2"/>
      </rPr>
      <t>Spé Créa</t>
    </r>
    <r>
      <rPr>
        <sz val="10"/>
        <rFont val="Aptos Narrow"/>
        <family val="2"/>
      </rPr>
      <t xml:space="preserve"> : Méthodologies IAGen créative</t>
    </r>
  </si>
  <si>
    <r>
      <rPr>
        <b/>
        <sz val="10"/>
        <color theme="1"/>
        <rFont val="Aptos Narrow"/>
        <family val="2"/>
        <scheme val="minor"/>
      </rPr>
      <t>Spé Créa</t>
    </r>
    <r>
      <rPr>
        <sz val="10"/>
        <color theme="1"/>
        <rFont val="Aptos Narrow"/>
        <family val="2"/>
        <scheme val="minor"/>
      </rPr>
      <t xml:space="preserve"> : Psychologie des couleurs</t>
    </r>
  </si>
  <si>
    <r>
      <rPr>
        <b/>
        <sz val="10"/>
        <color rgb="FF000000"/>
        <rFont val="Aptos Narrow"/>
        <family val="2"/>
      </rPr>
      <t>Spé Créa</t>
    </r>
    <r>
      <rPr>
        <sz val="10"/>
        <color rgb="FF000000"/>
        <rFont val="Aptos Narrow"/>
        <family val="2"/>
      </rPr>
      <t xml:space="preserve"> : Accompagnement PPC</t>
    </r>
  </si>
  <si>
    <r>
      <rPr>
        <b/>
        <sz val="10"/>
        <color rgb="FF000000"/>
        <rFont val="Aptos Narrow"/>
        <family val="2"/>
      </rPr>
      <t>Spé créa</t>
    </r>
    <r>
      <rPr>
        <sz val="10"/>
        <color rgb="FF000000"/>
        <rFont val="Aptos Narrow"/>
        <family val="2"/>
      </rPr>
      <t xml:space="preserve">  (hackathon webserie) :</t>
    </r>
    <r>
      <rPr>
        <i/>
        <sz val="10"/>
        <color rgb="FF000000"/>
        <rFont val="Aptos Narrow"/>
        <family val="2"/>
      </rPr>
      <t xml:space="preserve"> Direction artistique : websérie</t>
    </r>
  </si>
  <si>
    <r>
      <rPr>
        <b/>
        <sz val="10"/>
        <color rgb="FF000000"/>
        <rFont val="Aptos Narrow"/>
        <family val="2"/>
      </rPr>
      <t>Spé créa</t>
    </r>
    <r>
      <rPr>
        <sz val="10"/>
        <color rgb="FF000000"/>
        <rFont val="Aptos Narrow"/>
        <family val="2"/>
      </rPr>
      <t xml:space="preserve">  (hackathon webserie) :</t>
    </r>
    <r>
      <rPr>
        <i/>
        <sz val="10"/>
        <color rgb="FF000000"/>
        <rFont val="Aptos Narrow"/>
        <family val="2"/>
      </rPr>
      <t xml:space="preserve"> Adobe Premiere : Techniques de réalisation  avancées</t>
    </r>
  </si>
  <si>
    <r>
      <rPr>
        <b/>
        <sz val="10"/>
        <color rgb="FF000000"/>
        <rFont val="Aptos Narrow"/>
        <family val="2"/>
      </rPr>
      <t>Spé créa</t>
    </r>
    <r>
      <rPr>
        <sz val="10"/>
        <color rgb="FF000000"/>
        <rFont val="Aptos Narrow"/>
        <family val="2"/>
      </rPr>
      <t xml:space="preserve">  (hackathon webserie) :</t>
    </r>
    <r>
      <rPr>
        <i/>
        <sz val="10"/>
        <color rgb="FF000000"/>
        <rFont val="Aptos Narrow"/>
        <family val="2"/>
      </rPr>
      <t xml:space="preserve"> Psychologie des couleurs : Expérimentation visuelle</t>
    </r>
  </si>
  <si>
    <r>
      <rPr>
        <b/>
        <sz val="10"/>
        <color rgb="FF000000"/>
        <rFont val="Aptos Narrow"/>
        <family val="2"/>
      </rPr>
      <t>Spé créa</t>
    </r>
    <r>
      <rPr>
        <sz val="10"/>
        <color rgb="FF000000"/>
        <rFont val="Aptos Narrow"/>
        <family val="2"/>
      </rPr>
      <t xml:space="preserve">  (hackathon webserie) :</t>
    </r>
    <r>
      <rPr>
        <i/>
        <sz val="10"/>
        <color rgb="FF000000"/>
        <rFont val="Aptos Narrow"/>
        <family val="2"/>
      </rPr>
      <t xml:space="preserve"> Post-Prod vidéo : montage et motion design multicast</t>
    </r>
  </si>
  <si>
    <r>
      <rPr>
        <b/>
        <sz val="10"/>
        <color rgb="FF000000"/>
        <rFont val="Aptos Narrow"/>
        <family val="2"/>
      </rPr>
      <t>Spé créa</t>
    </r>
    <r>
      <rPr>
        <sz val="10"/>
        <color rgb="FF000000"/>
        <rFont val="Aptos Narrow"/>
        <family val="2"/>
      </rPr>
      <t xml:space="preserve">  (hackathon webserie) :</t>
    </r>
    <r>
      <rPr>
        <i/>
        <sz val="10"/>
        <color rgb="FF000000"/>
        <rFont val="Aptos Narrow"/>
        <family val="2"/>
      </rPr>
      <t xml:space="preserve"> TP - Production de la websérie en équipe</t>
    </r>
  </si>
  <si>
    <r>
      <rPr>
        <b/>
        <sz val="10"/>
        <color rgb="FF000000"/>
        <rFont val="Aptos Narrow"/>
        <family val="2"/>
      </rPr>
      <t>Spé créa</t>
    </r>
    <r>
      <rPr>
        <sz val="10"/>
        <color rgb="FF000000"/>
        <rFont val="Aptos Narrow"/>
        <family val="2"/>
      </rPr>
      <t xml:space="preserve">  (hackathon podcast) :</t>
    </r>
    <r>
      <rPr>
        <i/>
        <sz val="10"/>
        <color rgb="FF000000"/>
        <rFont val="Aptos Narrow"/>
        <family val="2"/>
      </rPr>
      <t xml:space="preserve"> Direction artistique : Identité sonore </t>
    </r>
  </si>
  <si>
    <r>
      <rPr>
        <b/>
        <sz val="10"/>
        <color rgb="FF000000"/>
        <rFont val="Aptos Narrow"/>
        <family val="2"/>
      </rPr>
      <t>Spé créa</t>
    </r>
    <r>
      <rPr>
        <sz val="10"/>
        <color rgb="FF000000"/>
        <rFont val="Aptos Narrow"/>
        <family val="2"/>
      </rPr>
      <t xml:space="preserve">  (hackathon podcast) :</t>
    </r>
    <r>
      <rPr>
        <i/>
        <sz val="10"/>
        <color rgb="FF000000"/>
        <rFont val="Aptos Narrow"/>
        <family val="2"/>
      </rPr>
      <t xml:space="preserve"> Créativité et pensée innovante : Narration innovante</t>
    </r>
  </si>
  <si>
    <r>
      <rPr>
        <b/>
        <sz val="10"/>
        <color rgb="FF000000"/>
        <rFont val="Aptos Narrow"/>
        <family val="2"/>
      </rPr>
      <t>Spé créa</t>
    </r>
    <r>
      <rPr>
        <sz val="10"/>
        <color rgb="FF000000"/>
        <rFont val="Aptos Narrow"/>
        <family val="2"/>
      </rPr>
      <t xml:space="preserve">  (hackathon podcast) : </t>
    </r>
    <r>
      <rPr>
        <i/>
        <sz val="10"/>
        <color rgb="FF000000"/>
        <rFont val="Aptos Narrow"/>
        <family val="2"/>
      </rPr>
      <t>Créativité audio : sons, voix</t>
    </r>
  </si>
  <si>
    <r>
      <rPr>
        <b/>
        <sz val="10"/>
        <color rgb="FF000000"/>
        <rFont val="Aptos Narrow"/>
        <family val="2"/>
      </rPr>
      <t>Spé créa</t>
    </r>
    <r>
      <rPr>
        <sz val="10"/>
        <color rgb="FF000000"/>
        <rFont val="Aptos Narrow"/>
        <family val="2"/>
      </rPr>
      <t xml:space="preserve">  (hackathon podcast) :</t>
    </r>
    <r>
      <rPr>
        <i/>
        <sz val="10"/>
        <color rgb="FF000000"/>
        <rFont val="Aptos Narrow"/>
        <family val="2"/>
      </rPr>
      <t xml:space="preserve"> TP - Production du Podcast en équipe</t>
    </r>
  </si>
  <si>
    <r>
      <rPr>
        <b/>
        <sz val="10"/>
        <color rgb="FF000000"/>
        <rFont val="Aptos Narrow"/>
        <family val="2"/>
      </rPr>
      <t>Spé créa</t>
    </r>
    <r>
      <rPr>
        <sz val="10"/>
        <color rgb="FF000000"/>
        <rFont val="Aptos Narrow"/>
        <family val="2"/>
      </rPr>
      <t xml:space="preserve">  (hackathon Media) :</t>
    </r>
    <r>
      <rPr>
        <i/>
        <sz val="10"/>
        <color rgb="FF000000"/>
        <rFont val="Aptos Narrow"/>
        <family val="2"/>
      </rPr>
      <t xml:space="preserve"> Conception créative du jeu</t>
    </r>
  </si>
  <si>
    <r>
      <rPr>
        <b/>
        <sz val="10"/>
        <color rgb="FF000000"/>
        <rFont val="Aptos Narrow"/>
        <family val="2"/>
      </rPr>
      <t>Spé créa</t>
    </r>
    <r>
      <rPr>
        <sz val="10"/>
        <color rgb="FF000000"/>
        <rFont val="Aptos Narrow"/>
        <family val="2"/>
      </rPr>
      <t xml:space="preserve">  (hackathon Media) : </t>
    </r>
    <r>
      <rPr>
        <i/>
        <sz val="10"/>
        <color rgb="FF000000"/>
        <rFont val="Aptos Narrow"/>
        <family val="2"/>
      </rPr>
      <t xml:space="preserve">Histoire de l'art et tendances visuelles : Design graphique et visuel </t>
    </r>
  </si>
  <si>
    <r>
      <rPr>
        <b/>
        <sz val="10"/>
        <color rgb="FF000000"/>
        <rFont val="Aptos Narrow"/>
        <family val="2"/>
      </rPr>
      <t>Spé créa</t>
    </r>
    <r>
      <rPr>
        <sz val="10"/>
        <color rgb="FF000000"/>
        <rFont val="Aptos Narrow"/>
        <family val="2"/>
      </rPr>
      <t xml:space="preserve">  (hackathon Media) :</t>
    </r>
    <r>
      <rPr>
        <i/>
        <sz val="10"/>
        <color rgb="FF000000"/>
        <rFont val="Aptos Narrow"/>
        <family val="2"/>
      </rPr>
      <t xml:space="preserve"> IAGen Créative : Mécaniques de jeu innovantes</t>
    </r>
  </si>
  <si>
    <r>
      <rPr>
        <b/>
        <sz val="10"/>
        <color rgb="FF000000"/>
        <rFont val="Aptos Narrow"/>
        <family val="2"/>
      </rPr>
      <t>Spé créa</t>
    </r>
    <r>
      <rPr>
        <sz val="10"/>
        <color rgb="FF000000"/>
        <rFont val="Aptos Narrow"/>
        <family val="2"/>
      </rPr>
      <t xml:space="preserve">  (hackathon Media) :</t>
    </r>
    <r>
      <rPr>
        <i/>
        <sz val="10"/>
        <color rgb="FF000000"/>
        <rFont val="Aptos Narrow"/>
        <family val="2"/>
      </rPr>
      <t xml:space="preserve"> TP - Production du jeu en équipe</t>
    </r>
  </si>
  <si>
    <t>Ateliers / Worshop / Séminaires campus A2</t>
  </si>
  <si>
    <t>BC3-5/6</t>
  </si>
  <si>
    <t>Personal Branding publication de contenu : expertise métier</t>
  </si>
  <si>
    <t>C1 à C19</t>
  </si>
  <si>
    <t> Ex. Mémoire de recherche</t>
  </si>
  <si>
    <t>Business Game création d'entreprise</t>
  </si>
  <si>
    <t>Insertion Pro</t>
  </si>
  <si>
    <t> 21h d'apports techniques sur la création d'entreprise et de BG mise en situation professionnelle reconstituée</t>
  </si>
  <si>
    <t>Bloc transversal : Compétition</t>
  </si>
  <si>
    <t>Compétition  M2 (Training EC BLOC 5/6 PPI ou PPC) Décembre</t>
  </si>
  <si>
    <t>Décembre - ÉMARGEMENTS OBLIGATOIRES RP</t>
  </si>
  <si>
    <t>EC Bloc 3</t>
  </si>
  <si>
    <t>BC3</t>
  </si>
  <si>
    <t>2 ECRITS : 1 COLL et 1 IND HORS MURS</t>
  </si>
  <si>
    <t>EC BC3 ORAL Pilo Plan (BC03)</t>
  </si>
  <si>
    <t>Oral individuel</t>
  </si>
  <si>
    <r>
      <t>EC PPI ou PPC (BC5/6) : semaine intensive (</t>
    </r>
    <r>
      <rPr>
        <b/>
        <sz val="10"/>
        <color rgb="FFFF0000"/>
        <rFont val="Aptos Narrow"/>
        <family val="2"/>
      </rPr>
      <t>12 AU 16 JUIN 2028</t>
    </r>
    <r>
      <rPr>
        <sz val="10"/>
        <color rgb="FF000000"/>
        <rFont val="Aptos Narrow"/>
        <family val="2"/>
      </rPr>
      <t>)</t>
    </r>
  </si>
  <si>
    <t>BC5 ou BC6</t>
  </si>
  <si>
    <t>Ecrit collectif</t>
  </si>
  <si>
    <t xml:space="preserve"> Penser à l'ECRIT INDIVIDUEL  (hors mur, prévoir date de rendu la semaine suivante l'écrit collectif en intensive)</t>
  </si>
  <si>
    <t>EC BC5/6 ORAL</t>
  </si>
  <si>
    <t>Bilan compétences</t>
  </si>
  <si>
    <t>septembre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</si>
</sst>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b/>
      <sz val="14"/>
      <color rgb="FFFFFFFF"/>
      <name val="Aptos Narrow"/>
      <family val="2"/>
    </font>
    <font>
      <sz val="10"/>
      <color theme="1"/>
      <name val="Aptos Narrow"/>
      <family val="2"/>
      <scheme val="minor"/>
    </font>
    <font>
      <b/>
      <sz val="10"/>
      <color rgb="FF000000"/>
      <name val="Aptos Narrow"/>
      <family val="2"/>
    </font>
    <font>
      <b/>
      <sz val="10"/>
      <color rgb="FFFFFFFF"/>
      <name val="Aptos Narrow"/>
      <family val="2"/>
    </font>
    <font>
      <b/>
      <sz val="10"/>
      <name val="Aptos Narrow"/>
      <family val="2"/>
    </font>
    <font>
      <b/>
      <sz val="10"/>
      <color theme="5"/>
      <name val="Aptos Narrow"/>
      <family val="2"/>
    </font>
    <font>
      <i/>
      <sz val="10"/>
      <color rgb="FF000000"/>
      <name val="Aptos Narrow"/>
      <family val="2"/>
    </font>
    <font>
      <sz val="9"/>
      <color rgb="FF000000"/>
      <name val="Aptos Narrow"/>
      <family val="2"/>
    </font>
    <font>
      <b/>
      <sz val="9"/>
      <color rgb="FF000000"/>
      <name val="Aptos Narrow"/>
      <family val="2"/>
    </font>
    <font>
      <sz val="10"/>
      <color rgb="FF000000"/>
      <name val="Aptos Narrow"/>
      <family val="2"/>
    </font>
    <font>
      <b/>
      <i/>
      <sz val="10"/>
      <color rgb="FF000000"/>
      <name val="Aptos Narrow"/>
      <family val="2"/>
    </font>
    <font>
      <b/>
      <sz val="10"/>
      <color theme="5" tint="-0.249977111117893"/>
      <name val="Aptos Narrow"/>
      <family val="2"/>
    </font>
    <font>
      <b/>
      <sz val="10"/>
      <color theme="0"/>
      <name val="Aptos Narrow"/>
      <family val="2"/>
    </font>
    <font>
      <sz val="10"/>
      <color theme="0"/>
      <name val="Aptos Narrow"/>
      <family val="2"/>
    </font>
    <font>
      <sz val="10"/>
      <name val="Aptos Narrow"/>
      <family val="2"/>
    </font>
    <font>
      <b/>
      <sz val="12"/>
      <color rgb="FFFFFFFF"/>
      <name val="Aptos Narrow"/>
      <family val="2"/>
    </font>
    <font>
      <sz val="11"/>
      <color rgb="FF000000"/>
      <name val="Aptos Narrow"/>
      <family val="2"/>
    </font>
    <font>
      <sz val="10"/>
      <color theme="5"/>
      <name val="Aptos Narrow"/>
      <family val="2"/>
    </font>
    <font>
      <i/>
      <sz val="10"/>
      <name val="Aptos Narrow"/>
      <family val="2"/>
    </font>
    <font>
      <b/>
      <sz val="10"/>
      <color theme="1"/>
      <name val="Aptos Narrow"/>
      <family val="2"/>
      <scheme val="minor"/>
    </font>
    <font>
      <b/>
      <sz val="9"/>
      <color rgb="FFFF0000"/>
      <name val="Aptos Narrow"/>
      <family val="2"/>
    </font>
    <font>
      <b/>
      <sz val="10"/>
      <color rgb="FFFF0000"/>
      <name val="Aptos Narrow"/>
      <family val="2"/>
    </font>
    <font>
      <b/>
      <sz val="12"/>
      <color rgb="FF000000"/>
      <name val="Aptos Narrow"/>
      <family val="2"/>
    </font>
    <font>
      <sz val="10"/>
      <color theme="1"/>
      <name val="Aptos Narrow"/>
      <family val="2"/>
    </font>
    <font>
      <sz val="10"/>
      <color theme="1"/>
      <name val="Aptos Narrow"/>
    </font>
    <font>
      <sz val="10"/>
      <color theme="1"/>
      <name val="Aptos Narrow (Corps)"/>
    </font>
    <font>
      <sz val="10"/>
      <color rgb="FFFF0000"/>
      <name val="Aptos Narrow"/>
      <family val="2"/>
    </font>
    <font>
      <b/>
      <sz val="9"/>
      <color rgb="FFFF0000"/>
      <name val="Aptos Narrow"/>
    </font>
    <font>
      <sz val="9"/>
      <color rgb="FF000000"/>
      <name val="Aptos Narrow"/>
    </font>
    <font>
      <b/>
      <sz val="9"/>
      <color rgb="FF000000"/>
      <name val="Aptos Narrow"/>
    </font>
    <font>
      <b/>
      <sz val="12"/>
      <color rgb="FF000000"/>
      <name val="Aptos Narrow"/>
    </font>
  </fonts>
  <fills count="18">
    <fill>
      <patternFill patternType="none"/>
    </fill>
    <fill>
      <patternFill patternType="gray125"/>
    </fill>
    <fill>
      <patternFill patternType="solid">
        <fgColor rgb="FF000000"/>
        <bgColor rgb="FF000000"/>
      </patternFill>
    </fill>
    <fill>
      <patternFill patternType="solid">
        <fgColor rgb="FFD0D0D0"/>
        <bgColor rgb="FF000000"/>
      </patternFill>
    </fill>
    <fill>
      <patternFill patternType="solid">
        <fgColor theme="5" tint="-0.249977111117893"/>
        <bgColor rgb="FF000000"/>
      </patternFill>
    </fill>
    <fill>
      <patternFill patternType="solid">
        <fgColor theme="5" tint="0.79998168889431442"/>
        <bgColor rgb="FF000000"/>
      </patternFill>
    </fill>
    <fill>
      <patternFill patternType="solid">
        <fgColor rgb="FFE8E8E8"/>
        <bgColor rgb="FF000000"/>
      </patternFill>
    </fill>
    <fill>
      <patternFill patternType="solid">
        <fgColor theme="0"/>
        <bgColor indexed="64"/>
      </patternFill>
    </fill>
    <fill>
      <patternFill patternType="solid">
        <fgColor rgb="FFFFFFFF"/>
        <bgColor rgb="FF000000"/>
      </patternFill>
    </fill>
    <fill>
      <patternFill patternType="solid">
        <fgColor theme="2"/>
        <bgColor rgb="FF000000"/>
      </patternFill>
    </fill>
    <fill>
      <patternFill patternType="solid">
        <fgColor theme="0"/>
        <bgColor rgb="FF000000"/>
      </patternFill>
    </fill>
    <fill>
      <patternFill patternType="solid">
        <fgColor theme="1" tint="0.499984740745262"/>
        <bgColor rgb="FF000000"/>
      </patternFill>
    </fill>
    <fill>
      <patternFill patternType="solid">
        <fgColor rgb="FF808080"/>
        <bgColor rgb="FF000000"/>
      </patternFill>
    </fill>
    <fill>
      <patternFill patternType="solid">
        <fgColor theme="1" tint="0.49998474074526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0" tint="-4.9989318521683403E-2"/>
        <bgColor rgb="FF000000"/>
      </patternFill>
    </fill>
  </fills>
  <borders count="72">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indexed="64"/>
      </right>
      <top style="medium">
        <color indexed="64"/>
      </top>
      <bottom/>
      <diagonal/>
    </border>
    <border>
      <left/>
      <right/>
      <top style="medium">
        <color indexed="64"/>
      </top>
      <bottom/>
      <diagonal/>
    </border>
    <border>
      <left/>
      <right style="thin">
        <color indexed="64"/>
      </right>
      <top style="thin">
        <color indexed="64"/>
      </top>
      <bottom style="thin">
        <color indexed="64"/>
      </bottom>
      <diagonal/>
    </border>
  </borders>
  <cellStyleXfs count="1">
    <xf numFmtId="0" fontId="0" fillId="0" borderId="0"/>
  </cellStyleXfs>
  <cellXfs count="316">
    <xf numFmtId="0" fontId="0" fillId="0" borderId="0" xfId="0"/>
    <xf numFmtId="0" fontId="2" fillId="0" borderId="0" xfId="0" applyFont="1"/>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10" fillId="7" borderId="18" xfId="0" applyFont="1" applyFill="1" applyBorder="1" applyAlignment="1">
      <alignment horizontal="left" vertical="center" wrapText="1"/>
    </xf>
    <xf numFmtId="0" fontId="10" fillId="8" borderId="19" xfId="0" applyFont="1" applyFill="1" applyBorder="1" applyAlignment="1">
      <alignment horizontal="center" vertical="center" wrapText="1"/>
    </xf>
    <xf numFmtId="0" fontId="10" fillId="8" borderId="20" xfId="0" applyFont="1" applyFill="1" applyBorder="1" applyAlignment="1">
      <alignment horizontal="center" vertical="center" wrapText="1"/>
    </xf>
    <xf numFmtId="0" fontId="10" fillId="7" borderId="24" xfId="0" applyFont="1" applyFill="1" applyBorder="1" applyAlignment="1">
      <alignment horizontal="left" vertical="center" wrapText="1"/>
    </xf>
    <xf numFmtId="0" fontId="10" fillId="8" borderId="25"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0" borderId="29" xfId="0" applyFont="1" applyBorder="1" applyAlignment="1">
      <alignment horizontal="center" vertical="center" wrapText="1"/>
    </xf>
    <xf numFmtId="0" fontId="10" fillId="7" borderId="30" xfId="0" applyFont="1" applyFill="1" applyBorder="1" applyAlignment="1">
      <alignment horizontal="center" vertical="center" wrapText="1"/>
    </xf>
    <xf numFmtId="0" fontId="10" fillId="9" borderId="34" xfId="0" applyFont="1" applyFill="1" applyBorder="1" applyAlignment="1">
      <alignment horizontal="center" vertical="center" wrapText="1"/>
    </xf>
    <xf numFmtId="0" fontId="10" fillId="9" borderId="35"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10" fillId="8" borderId="36" xfId="0" applyFont="1" applyFill="1" applyBorder="1" applyAlignment="1">
      <alignment horizontal="center" vertical="center" wrapText="1"/>
    </xf>
    <xf numFmtId="0" fontId="10" fillId="8" borderId="37" xfId="0" applyFont="1" applyFill="1" applyBorder="1" applyAlignment="1">
      <alignment horizontal="center" vertical="center" wrapText="1"/>
    </xf>
    <xf numFmtId="0" fontId="10" fillId="10" borderId="36" xfId="0" applyFont="1" applyFill="1" applyBorder="1" applyAlignment="1">
      <alignment horizontal="center" vertical="center" wrapText="1"/>
    </xf>
    <xf numFmtId="0" fontId="10" fillId="10" borderId="19" xfId="0" applyFont="1" applyFill="1" applyBorder="1" applyAlignment="1">
      <alignment horizontal="center" vertical="center" wrapText="1"/>
    </xf>
    <xf numFmtId="0" fontId="10" fillId="10" borderId="37" xfId="0" applyFont="1" applyFill="1" applyBorder="1" applyAlignment="1">
      <alignment horizontal="center" vertical="center" wrapText="1"/>
    </xf>
    <xf numFmtId="0" fontId="10" fillId="0" borderId="18" xfId="0" applyFont="1" applyBorder="1" applyAlignment="1">
      <alignment horizontal="left" vertical="center" wrapText="1"/>
    </xf>
    <xf numFmtId="0" fontId="10" fillId="0" borderId="36"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37" xfId="0" applyFont="1" applyBorder="1" applyAlignment="1">
      <alignment horizontal="center" vertical="center" wrapText="1"/>
    </xf>
    <xf numFmtId="0" fontId="10" fillId="7" borderId="8" xfId="0" applyFont="1" applyFill="1" applyBorder="1" applyAlignment="1">
      <alignment horizontal="left" vertical="center" wrapText="1"/>
    </xf>
    <xf numFmtId="0" fontId="10" fillId="8" borderId="9" xfId="0" applyFont="1" applyFill="1" applyBorder="1" applyAlignment="1">
      <alignment horizontal="center" vertical="center" wrapText="1"/>
    </xf>
    <xf numFmtId="0" fontId="10" fillId="8" borderId="38" xfId="0" applyFont="1" applyFill="1" applyBorder="1" applyAlignment="1">
      <alignment horizontal="center" vertical="center" wrapText="1"/>
    </xf>
    <xf numFmtId="0" fontId="4" fillId="11" borderId="7" xfId="0" applyFont="1" applyFill="1" applyBorder="1" applyAlignment="1">
      <alignment horizontal="center" vertical="center" wrapText="1"/>
    </xf>
    <xf numFmtId="0" fontId="13" fillId="4" borderId="2" xfId="0" applyFont="1" applyFill="1" applyBorder="1" applyAlignment="1">
      <alignment horizontal="left" vertical="center" wrapText="1"/>
    </xf>
    <xf numFmtId="0" fontId="13" fillId="4" borderId="3"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0" fillId="9" borderId="25" xfId="0" applyFont="1" applyFill="1" applyBorder="1" applyAlignment="1">
      <alignment horizontal="center" vertical="center" wrapText="1"/>
    </xf>
    <xf numFmtId="0" fontId="10" fillId="9" borderId="26" xfId="0" applyFont="1" applyFill="1" applyBorder="1" applyAlignment="1">
      <alignment horizontal="center" vertical="center" wrapText="1"/>
    </xf>
    <xf numFmtId="0" fontId="10" fillId="10" borderId="24" xfId="0" applyFont="1" applyFill="1" applyBorder="1" applyAlignment="1">
      <alignment horizontal="left" vertical="center" wrapText="1"/>
    </xf>
    <xf numFmtId="0" fontId="15" fillId="7" borderId="24"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3" fillId="4" borderId="2" xfId="0" applyFont="1" applyFill="1" applyBorder="1" applyAlignment="1">
      <alignment horizontal="center" vertical="center" wrapText="1"/>
    </xf>
    <xf numFmtId="0" fontId="10" fillId="6" borderId="16" xfId="0" applyFont="1" applyFill="1" applyBorder="1" applyAlignment="1">
      <alignment horizontal="left" vertical="center" wrapText="1"/>
    </xf>
    <xf numFmtId="0" fontId="10" fillId="7" borderId="18" xfId="0" applyFont="1" applyFill="1" applyBorder="1" applyAlignment="1">
      <alignment horizontal="left" vertical="center"/>
    </xf>
    <xf numFmtId="0" fontId="10" fillId="10" borderId="36" xfId="0" applyFont="1" applyFill="1" applyBorder="1" applyAlignment="1">
      <alignment horizontal="center" vertical="center"/>
    </xf>
    <xf numFmtId="0" fontId="10" fillId="8" borderId="43" xfId="0" applyFont="1" applyFill="1" applyBorder="1" applyAlignment="1">
      <alignment horizontal="center" vertical="center" wrapText="1"/>
    </xf>
    <xf numFmtId="0" fontId="10" fillId="6" borderId="22" xfId="0" applyFont="1" applyFill="1" applyBorder="1" applyAlignment="1">
      <alignment horizontal="left" vertical="center" wrapText="1"/>
    </xf>
    <xf numFmtId="0" fontId="10" fillId="9" borderId="36" xfId="0" applyFont="1" applyFill="1" applyBorder="1" applyAlignment="1">
      <alignment horizontal="center" vertical="center" wrapText="1"/>
    </xf>
    <xf numFmtId="0" fontId="10" fillId="9" borderId="37"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7" xfId="0" applyFont="1" applyFill="1" applyBorder="1" applyAlignment="1">
      <alignment horizontal="center" vertical="center"/>
    </xf>
    <xf numFmtId="0" fontId="10" fillId="8" borderId="18" xfId="0" applyFont="1" applyFill="1" applyBorder="1" applyAlignment="1">
      <alignment horizontal="left" vertical="center" wrapText="1"/>
    </xf>
    <xf numFmtId="0" fontId="10" fillId="8" borderId="43" xfId="0" applyFont="1" applyFill="1" applyBorder="1" applyAlignment="1">
      <alignment horizontal="center" vertical="center"/>
    </xf>
    <xf numFmtId="0" fontId="10" fillId="8" borderId="20" xfId="0" applyFont="1" applyFill="1" applyBorder="1" applyAlignment="1">
      <alignment horizontal="center" vertical="center"/>
    </xf>
    <xf numFmtId="0" fontId="10" fillId="8" borderId="19" xfId="0" applyFont="1" applyFill="1" applyBorder="1" applyAlignment="1">
      <alignment horizontal="center" vertical="center"/>
    </xf>
    <xf numFmtId="0" fontId="10" fillId="8" borderId="41" xfId="0" applyFont="1" applyFill="1" applyBorder="1" applyAlignment="1">
      <alignment horizontal="left" vertical="center"/>
    </xf>
    <xf numFmtId="0" fontId="10" fillId="8" borderId="41" xfId="0" applyFont="1" applyFill="1" applyBorder="1" applyAlignment="1">
      <alignment horizontal="left" vertical="center" wrapText="1"/>
    </xf>
    <xf numFmtId="0" fontId="10" fillId="10" borderId="18" xfId="0" applyFont="1" applyFill="1" applyBorder="1" applyAlignment="1">
      <alignment horizontal="left" vertical="center" wrapText="1"/>
    </xf>
    <xf numFmtId="0" fontId="10" fillId="9" borderId="20" xfId="0" applyFont="1" applyFill="1" applyBorder="1" applyAlignment="1">
      <alignment horizontal="center" vertical="center"/>
    </xf>
    <xf numFmtId="0" fontId="10" fillId="9" borderId="43" xfId="0" applyFont="1" applyFill="1" applyBorder="1" applyAlignment="1">
      <alignment horizontal="center" vertical="center"/>
    </xf>
    <xf numFmtId="0" fontId="10" fillId="8" borderId="41" xfId="0" applyFont="1" applyFill="1" applyBorder="1" applyAlignment="1">
      <alignment horizontal="center" vertical="center" wrapText="1"/>
    </xf>
    <xf numFmtId="0" fontId="10" fillId="8" borderId="41" xfId="0" applyFont="1" applyFill="1" applyBorder="1" applyAlignment="1">
      <alignment horizontal="center" vertical="center"/>
    </xf>
    <xf numFmtId="0" fontId="4" fillId="12" borderId="2"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12" borderId="5" xfId="0" applyFont="1" applyFill="1" applyBorder="1" applyAlignment="1">
      <alignment horizontal="center" vertical="center" wrapText="1"/>
    </xf>
    <xf numFmtId="0" fontId="4" fillId="12" borderId="6" xfId="0" applyFont="1" applyFill="1" applyBorder="1" applyAlignment="1">
      <alignment horizontal="center" vertical="center" wrapText="1"/>
    </xf>
    <xf numFmtId="0" fontId="4" fillId="12" borderId="4" xfId="0" applyFont="1" applyFill="1" applyBorder="1" applyAlignment="1">
      <alignment horizontal="center" vertical="center" wrapText="1"/>
    </xf>
    <xf numFmtId="0" fontId="4" fillId="12" borderId="7"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0" fillId="6" borderId="41" xfId="0" applyFont="1" applyFill="1" applyBorder="1" applyAlignment="1">
      <alignment horizontal="center" vertical="center" wrapText="1"/>
    </xf>
    <xf numFmtId="0" fontId="10" fillId="6" borderId="20" xfId="0" applyFont="1" applyFill="1" applyBorder="1" applyAlignment="1">
      <alignment horizontal="center" vertical="center"/>
    </xf>
    <xf numFmtId="0" fontId="10" fillId="6" borderId="4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10" fillId="0" borderId="0" xfId="0" applyFont="1" applyAlignment="1">
      <alignment horizontal="center" vertical="center"/>
    </xf>
    <xf numFmtId="0" fontId="2" fillId="0" borderId="0" xfId="0" applyFont="1" applyAlignment="1">
      <alignment horizontal="center"/>
    </xf>
    <xf numFmtId="0" fontId="16" fillId="0" borderId="0" xfId="0" applyFont="1" applyAlignment="1">
      <alignment horizontal="center" vertical="center"/>
    </xf>
    <xf numFmtId="0" fontId="1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10" fillId="0" borderId="0" xfId="0" applyFont="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38" xfId="0" applyFont="1" applyFill="1" applyBorder="1" applyAlignment="1">
      <alignment horizontal="center" vertical="center" wrapText="1"/>
    </xf>
    <xf numFmtId="0" fontId="3" fillId="3" borderId="31" xfId="0" applyFont="1" applyFill="1" applyBorder="1" applyAlignment="1">
      <alignment horizontal="center" vertical="center" wrapText="1"/>
    </xf>
    <xf numFmtId="0" fontId="3" fillId="3" borderId="0" xfId="0" applyFont="1" applyFill="1" applyAlignment="1">
      <alignment horizontal="center" vertical="center" wrapText="1"/>
    </xf>
    <xf numFmtId="0" fontId="4" fillId="4" borderId="17" xfId="0" applyFont="1" applyFill="1" applyBorder="1" applyAlignment="1">
      <alignment horizontal="center" vertical="center" wrapText="1"/>
    </xf>
    <xf numFmtId="0" fontId="10" fillId="7" borderId="44" xfId="0" applyFont="1" applyFill="1" applyBorder="1" applyAlignment="1">
      <alignment horizontal="left" vertical="center" wrapText="1"/>
    </xf>
    <xf numFmtId="0" fontId="10" fillId="8" borderId="45" xfId="0" applyFont="1" applyFill="1" applyBorder="1" applyAlignment="1">
      <alignment horizontal="center" vertical="center" wrapText="1"/>
    </xf>
    <xf numFmtId="0" fontId="10" fillId="8" borderId="46" xfId="0" applyFont="1" applyFill="1" applyBorder="1" applyAlignment="1">
      <alignment horizontal="center" vertical="center" wrapText="1"/>
    </xf>
    <xf numFmtId="0" fontId="10" fillId="8" borderId="47" xfId="0" applyFont="1" applyFill="1" applyBorder="1" applyAlignment="1">
      <alignment horizontal="center" vertical="center" wrapText="1"/>
    </xf>
    <xf numFmtId="0" fontId="10" fillId="10" borderId="43" xfId="0" applyFont="1" applyFill="1" applyBorder="1" applyAlignment="1">
      <alignment horizontal="center" vertical="center" wrapText="1"/>
    </xf>
    <xf numFmtId="0" fontId="10" fillId="10" borderId="25" xfId="0" applyFont="1" applyFill="1" applyBorder="1" applyAlignment="1">
      <alignment horizontal="center" vertical="center" wrapText="1"/>
    </xf>
    <xf numFmtId="0" fontId="10" fillId="10" borderId="50" xfId="0" applyFont="1" applyFill="1" applyBorder="1" applyAlignment="1">
      <alignment horizontal="center" vertical="center" wrapText="1"/>
    </xf>
    <xf numFmtId="0" fontId="10" fillId="8" borderId="50"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10" borderId="38" xfId="0" applyFont="1" applyFill="1" applyBorder="1" applyAlignment="1">
      <alignment horizontal="center" vertical="center" wrapText="1"/>
    </xf>
    <xf numFmtId="0" fontId="10" fillId="7" borderId="44" xfId="0" applyFont="1" applyFill="1" applyBorder="1" applyAlignment="1">
      <alignment horizontal="left" vertical="center"/>
    </xf>
    <xf numFmtId="0" fontId="9" fillId="6" borderId="21"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10" fillId="10" borderId="34" xfId="0" applyFont="1" applyFill="1" applyBorder="1" applyAlignment="1">
      <alignment horizontal="center" vertical="center" wrapText="1"/>
    </xf>
    <xf numFmtId="0" fontId="10" fillId="10" borderId="55" xfId="0" applyFont="1" applyFill="1" applyBorder="1" applyAlignment="1">
      <alignment horizontal="center" vertical="center" wrapText="1"/>
    </xf>
    <xf numFmtId="0" fontId="10" fillId="8" borderId="56" xfId="0" applyFont="1" applyFill="1" applyBorder="1" applyAlignment="1">
      <alignment horizontal="center" vertical="center" wrapText="1"/>
    </xf>
    <xf numFmtId="0" fontId="10" fillId="8" borderId="57" xfId="0" applyFont="1" applyFill="1" applyBorder="1" applyAlignment="1">
      <alignment horizontal="center" vertical="center" wrapText="1"/>
    </xf>
    <xf numFmtId="0" fontId="10" fillId="7" borderId="58" xfId="0" applyFont="1" applyFill="1" applyBorder="1" applyAlignment="1">
      <alignment horizontal="left" vertical="center" wrapText="1"/>
    </xf>
    <xf numFmtId="0" fontId="10" fillId="8" borderId="59" xfId="0" applyFont="1" applyFill="1" applyBorder="1" applyAlignment="1">
      <alignment horizontal="center" vertical="center" wrapText="1"/>
    </xf>
    <xf numFmtId="0" fontId="10" fillId="8" borderId="0" xfId="0" applyFont="1" applyFill="1" applyAlignment="1">
      <alignment horizontal="center" vertical="center" wrapText="1"/>
    </xf>
    <xf numFmtId="0" fontId="10" fillId="8" borderId="60" xfId="0" applyFont="1" applyFill="1" applyBorder="1" applyAlignment="1">
      <alignment horizontal="center" vertical="center" wrapText="1"/>
    </xf>
    <xf numFmtId="0" fontId="10" fillId="10" borderId="44" xfId="0" applyFont="1" applyFill="1" applyBorder="1" applyAlignment="1">
      <alignment horizontal="left" vertical="center" wrapText="1"/>
    </xf>
    <xf numFmtId="0" fontId="10" fillId="9" borderId="50" xfId="0" applyFont="1" applyFill="1" applyBorder="1" applyAlignment="1">
      <alignment horizontal="center" vertical="center" wrapText="1"/>
    </xf>
    <xf numFmtId="0" fontId="10" fillId="8" borderId="34" xfId="0" applyFont="1" applyFill="1" applyBorder="1" applyAlignment="1">
      <alignment horizontal="center" vertical="center" wrapText="1"/>
    </xf>
    <xf numFmtId="0" fontId="10" fillId="8" borderId="35" xfId="0" applyFont="1" applyFill="1" applyBorder="1" applyAlignment="1">
      <alignment horizontal="center" vertical="center" wrapText="1"/>
    </xf>
    <xf numFmtId="0" fontId="10" fillId="8" borderId="55"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13" fillId="13" borderId="4" xfId="0" applyFont="1" applyFill="1" applyBorder="1" applyAlignment="1">
      <alignment horizontal="center" vertical="center" wrapText="1"/>
    </xf>
    <xf numFmtId="0" fontId="13" fillId="13" borderId="6" xfId="0" applyFont="1" applyFill="1" applyBorder="1" applyAlignment="1">
      <alignment horizontal="center" vertical="center" wrapText="1"/>
    </xf>
    <xf numFmtId="0" fontId="13" fillId="13" borderId="39" xfId="0" applyFont="1" applyFill="1" applyBorder="1" applyAlignment="1">
      <alignment horizontal="center" vertical="center" wrapText="1"/>
    </xf>
    <xf numFmtId="0" fontId="10" fillId="9" borderId="45" xfId="0" applyFont="1" applyFill="1" applyBorder="1" applyAlignment="1">
      <alignment horizontal="center" vertical="center" wrapText="1"/>
    </xf>
    <xf numFmtId="0" fontId="10" fillId="9" borderId="46" xfId="0" applyFont="1" applyFill="1" applyBorder="1" applyAlignment="1">
      <alignment horizontal="center" vertical="center" wrapText="1"/>
    </xf>
    <xf numFmtId="0" fontId="10" fillId="9" borderId="47" xfId="0" applyFont="1" applyFill="1" applyBorder="1" applyAlignment="1">
      <alignment horizontal="center" vertical="center" wrapText="1"/>
    </xf>
    <xf numFmtId="0" fontId="10" fillId="9" borderId="55"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2" fillId="7" borderId="24" xfId="0" applyFont="1" applyFill="1" applyBorder="1" applyAlignment="1">
      <alignment horizontal="left" vertical="center"/>
    </xf>
    <xf numFmtId="0" fontId="10" fillId="9" borderId="41" xfId="0" applyFont="1" applyFill="1" applyBorder="1" applyAlignment="1">
      <alignment horizontal="center" vertical="center" wrapText="1"/>
    </xf>
    <xf numFmtId="0" fontId="10" fillId="9" borderId="13" xfId="0" applyFont="1" applyFill="1" applyBorder="1" applyAlignment="1">
      <alignment horizontal="center" vertical="center" wrapText="1"/>
    </xf>
    <xf numFmtId="0" fontId="4" fillId="4" borderId="17" xfId="0" applyFont="1" applyFill="1" applyBorder="1" applyAlignment="1">
      <alignment horizontal="center" vertical="center"/>
    </xf>
    <xf numFmtId="0" fontId="10" fillId="9" borderId="56" xfId="0" applyFont="1" applyFill="1" applyBorder="1" applyAlignment="1">
      <alignment horizontal="center" vertical="center" wrapText="1"/>
    </xf>
    <xf numFmtId="0" fontId="10" fillId="8" borderId="49" xfId="0" applyFont="1" applyFill="1" applyBorder="1" applyAlignment="1">
      <alignment horizontal="center" vertical="center"/>
    </xf>
    <xf numFmtId="0" fontId="10" fillId="8" borderId="40" xfId="0" applyFont="1" applyFill="1" applyBorder="1" applyAlignment="1">
      <alignment horizontal="center" vertical="center"/>
    </xf>
    <xf numFmtId="0" fontId="10" fillId="8" borderId="8" xfId="0" applyFont="1" applyFill="1" applyBorder="1" applyAlignment="1">
      <alignment horizontal="left" vertical="center" wrapText="1"/>
    </xf>
    <xf numFmtId="0" fontId="10" fillId="8" borderId="10" xfId="0" applyFont="1" applyFill="1" applyBorder="1" applyAlignment="1">
      <alignment horizontal="center" vertical="center"/>
    </xf>
    <xf numFmtId="0" fontId="10" fillId="8" borderId="31" xfId="0" applyFont="1" applyFill="1" applyBorder="1" applyAlignment="1">
      <alignment horizontal="center" vertical="center"/>
    </xf>
    <xf numFmtId="0" fontId="10" fillId="8" borderId="12" xfId="0" applyFont="1" applyFill="1" applyBorder="1" applyAlignment="1">
      <alignment horizontal="left" vertical="center"/>
    </xf>
    <xf numFmtId="0" fontId="10" fillId="6" borderId="8" xfId="0" applyFont="1" applyFill="1" applyBorder="1" applyAlignment="1">
      <alignment horizontal="left" vertical="center" wrapText="1"/>
    </xf>
    <xf numFmtId="0" fontId="10" fillId="6" borderId="9" xfId="0" applyFont="1" applyFill="1" applyBorder="1" applyAlignment="1">
      <alignment horizontal="center" vertical="center" wrapText="1"/>
    </xf>
    <xf numFmtId="0" fontId="10" fillId="6" borderId="9" xfId="0" applyFont="1" applyFill="1" applyBorder="1" applyAlignment="1">
      <alignment horizontal="center" vertical="center"/>
    </xf>
    <xf numFmtId="0" fontId="10" fillId="6" borderId="12" xfId="0" applyFont="1" applyFill="1" applyBorder="1" applyAlignment="1">
      <alignment horizontal="center" vertical="center"/>
    </xf>
    <xf numFmtId="0" fontId="10" fillId="8" borderId="11" xfId="0" applyFont="1" applyFill="1" applyBorder="1" applyAlignment="1">
      <alignment horizontal="center" vertical="center"/>
    </xf>
    <xf numFmtId="0" fontId="10" fillId="8" borderId="12" xfId="0" applyFont="1" applyFill="1" applyBorder="1" applyAlignment="1">
      <alignment horizontal="center" vertical="center"/>
    </xf>
    <xf numFmtId="0" fontId="13" fillId="4" borderId="13"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5" fillId="0" borderId="34"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3" xfId="0" applyFont="1" applyBorder="1" applyAlignment="1">
      <alignment horizontal="left" vertical="center" wrapText="1"/>
    </xf>
    <xf numFmtId="0" fontId="15" fillId="0" borderId="19"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8" xfId="0" applyFont="1" applyBorder="1" applyAlignment="1">
      <alignment horizontal="left" vertical="center" wrapText="1"/>
    </xf>
    <xf numFmtId="0" fontId="15" fillId="0" borderId="20"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18" xfId="0" applyFont="1" applyBorder="1" applyAlignment="1">
      <alignment horizontal="left" vertical="center" wrapText="1"/>
    </xf>
    <xf numFmtId="0" fontId="15" fillId="0" borderId="24" xfId="0" applyFont="1" applyBorder="1" applyAlignment="1">
      <alignment horizontal="left" vertical="center" wrapText="1"/>
    </xf>
    <xf numFmtId="0" fontId="15" fillId="0" borderId="36" xfId="0" applyFont="1" applyBorder="1" applyAlignment="1">
      <alignment horizontal="center" vertical="center" wrapText="1"/>
    </xf>
    <xf numFmtId="0" fontId="15" fillId="0" borderId="4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50"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46" xfId="0" applyFont="1" applyBorder="1" applyAlignment="1">
      <alignment horizontal="center" vertical="center"/>
    </xf>
    <xf numFmtId="0" fontId="15" fillId="0" borderId="44" xfId="0" applyFont="1" applyBorder="1" applyAlignment="1">
      <alignment horizontal="left" vertical="center" wrapText="1"/>
    </xf>
    <xf numFmtId="0" fontId="15" fillId="0" borderId="43" xfId="0" applyFont="1" applyBorder="1" applyAlignment="1">
      <alignment horizontal="center" vertical="center"/>
    </xf>
    <xf numFmtId="0" fontId="15" fillId="0" borderId="20" xfId="0" applyFont="1" applyBorder="1" applyAlignment="1">
      <alignment horizontal="center" vertical="center"/>
    </xf>
    <xf numFmtId="0" fontId="15" fillId="0" borderId="41" xfId="0" applyFont="1" applyBorder="1" applyAlignment="1">
      <alignment horizontal="left" vertical="center"/>
    </xf>
    <xf numFmtId="0" fontId="10" fillId="9" borderId="48" xfId="0" applyFont="1" applyFill="1" applyBorder="1" applyAlignment="1">
      <alignment horizontal="center" vertical="center" wrapText="1"/>
    </xf>
    <xf numFmtId="0" fontId="10" fillId="9" borderId="60" xfId="0" applyFont="1" applyFill="1" applyBorder="1" applyAlignment="1">
      <alignment horizontal="center" vertical="center" wrapText="1"/>
    </xf>
    <xf numFmtId="0" fontId="10" fillId="9" borderId="30" xfId="0" applyFont="1" applyFill="1" applyBorder="1" applyAlignment="1">
      <alignment horizontal="center" vertical="center" wrapText="1"/>
    </xf>
    <xf numFmtId="0" fontId="10" fillId="9" borderId="59" xfId="0" applyFont="1" applyFill="1" applyBorder="1" applyAlignment="1">
      <alignment horizontal="center" vertical="center" wrapText="1"/>
    </xf>
    <xf numFmtId="0" fontId="10" fillId="9" borderId="67" xfId="0" applyFont="1" applyFill="1" applyBorder="1" applyAlignment="1">
      <alignment horizontal="center" vertical="center" wrapText="1"/>
    </xf>
    <xf numFmtId="0" fontId="10" fillId="9" borderId="62" xfId="0" applyFont="1" applyFill="1" applyBorder="1" applyAlignment="1">
      <alignment horizontal="center" vertical="center" wrapText="1"/>
    </xf>
    <xf numFmtId="0" fontId="10" fillId="9" borderId="63" xfId="0" applyFont="1" applyFill="1" applyBorder="1" applyAlignment="1">
      <alignment horizontal="center" vertical="center" wrapText="1"/>
    </xf>
    <xf numFmtId="0" fontId="10" fillId="8" borderId="58" xfId="0" applyFont="1" applyFill="1" applyBorder="1" applyAlignment="1">
      <alignment horizontal="left" vertical="center" wrapText="1"/>
    </xf>
    <xf numFmtId="0" fontId="10" fillId="10" borderId="59" xfId="0" applyFont="1" applyFill="1" applyBorder="1" applyAlignment="1">
      <alignment horizontal="center" vertical="center" wrapText="1"/>
    </xf>
    <xf numFmtId="0" fontId="10" fillId="8" borderId="64" xfId="0" applyFont="1" applyFill="1" applyBorder="1" applyAlignment="1">
      <alignment horizontal="center" vertical="center" wrapText="1"/>
    </xf>
    <xf numFmtId="0" fontId="10" fillId="8" borderId="21" xfId="0" applyFont="1" applyFill="1" applyBorder="1" applyAlignment="1">
      <alignment horizontal="center" vertical="center" wrapText="1"/>
    </xf>
    <xf numFmtId="0" fontId="10" fillId="8" borderId="13" xfId="0" applyFont="1" applyFill="1" applyBorder="1" applyAlignment="1">
      <alignment horizontal="center" vertical="center" wrapText="1"/>
    </xf>
    <xf numFmtId="0" fontId="15" fillId="0" borderId="23" xfId="0" applyFont="1" applyBorder="1" applyAlignment="1">
      <alignment horizontal="center" vertical="center"/>
    </xf>
    <xf numFmtId="0" fontId="10" fillId="0" borderId="43" xfId="0" applyFont="1" applyBorder="1" applyAlignment="1">
      <alignment horizontal="center" vertical="center" wrapText="1"/>
    </xf>
    <xf numFmtId="17" fontId="10" fillId="6" borderId="43" xfId="0" applyNumberFormat="1" applyFont="1" applyFill="1" applyBorder="1" applyAlignment="1">
      <alignment horizontal="center" vertical="center" wrapText="1"/>
    </xf>
    <xf numFmtId="0" fontId="10" fillId="9" borderId="36" xfId="0" applyFont="1" applyFill="1" applyBorder="1" applyAlignment="1">
      <alignment horizontal="left" vertical="center" wrapText="1"/>
    </xf>
    <xf numFmtId="0" fontId="24" fillId="0" borderId="19" xfId="0" applyFont="1" applyBorder="1"/>
    <xf numFmtId="0" fontId="10" fillId="10" borderId="68" xfId="0" applyFont="1" applyFill="1" applyBorder="1" applyAlignment="1">
      <alignment horizontal="center" vertical="center" wrapText="1"/>
    </xf>
    <xf numFmtId="0" fontId="24" fillId="8" borderId="59" xfId="0" applyFont="1" applyFill="1" applyBorder="1" applyAlignment="1">
      <alignment horizontal="center" vertical="center" wrapText="1"/>
    </xf>
    <xf numFmtId="0" fontId="25" fillId="10" borderId="18" xfId="0" applyFont="1" applyFill="1" applyBorder="1" applyAlignment="1">
      <alignment horizontal="left" vertical="center" wrapText="1"/>
    </xf>
    <xf numFmtId="0" fontId="19" fillId="10" borderId="44" xfId="0" applyFont="1" applyFill="1" applyBorder="1" applyAlignment="1">
      <alignment horizontal="left" vertical="center" wrapText="1"/>
    </xf>
    <xf numFmtId="0" fontId="19" fillId="10" borderId="24" xfId="0" applyFont="1" applyFill="1" applyBorder="1" applyAlignment="1">
      <alignment horizontal="left" vertical="center" wrapText="1"/>
    </xf>
    <xf numFmtId="0" fontId="19" fillId="10" borderId="33" xfId="0" applyFont="1" applyFill="1" applyBorder="1" applyAlignment="1">
      <alignment horizontal="left" vertical="center" wrapText="1"/>
    </xf>
    <xf numFmtId="0" fontId="7" fillId="10" borderId="44" xfId="0" applyFont="1" applyFill="1" applyBorder="1" applyAlignment="1">
      <alignment horizontal="left" vertical="center" wrapText="1"/>
    </xf>
    <xf numFmtId="0" fontId="7" fillId="10" borderId="24" xfId="0" applyFont="1" applyFill="1" applyBorder="1" applyAlignment="1">
      <alignment horizontal="left" vertical="center" wrapText="1"/>
    </xf>
    <xf numFmtId="0" fontId="7" fillId="10" borderId="28" xfId="0" applyFont="1" applyFill="1" applyBorder="1" applyAlignment="1">
      <alignment horizontal="left" vertical="center" wrapText="1"/>
    </xf>
    <xf numFmtId="0" fontId="7" fillId="10" borderId="18" xfId="0" applyFont="1" applyFill="1" applyBorder="1" applyAlignment="1">
      <alignment horizontal="left" vertical="center" wrapText="1"/>
    </xf>
    <xf numFmtId="0" fontId="7" fillId="10" borderId="58" xfId="0" applyFont="1" applyFill="1" applyBorder="1" applyAlignment="1">
      <alignment horizontal="left" vertical="center" wrapText="1"/>
    </xf>
    <xf numFmtId="0" fontId="7" fillId="10" borderId="61" xfId="0" applyFont="1" applyFill="1" applyBorder="1" applyAlignment="1">
      <alignment horizontal="left" vertical="center" wrapText="1"/>
    </xf>
    <xf numFmtId="0" fontId="7" fillId="10" borderId="22" xfId="0" applyFont="1" applyFill="1" applyBorder="1" applyAlignment="1">
      <alignment horizontal="left" vertical="center" wrapText="1"/>
    </xf>
    <xf numFmtId="0" fontId="10" fillId="7" borderId="0" xfId="0" applyFont="1" applyFill="1" applyAlignment="1">
      <alignment horizontal="center" vertical="center"/>
    </xf>
    <xf numFmtId="0" fontId="10" fillId="7" borderId="25" xfId="0" applyFont="1" applyFill="1" applyBorder="1" applyAlignment="1">
      <alignment horizontal="center" vertical="center"/>
    </xf>
    <xf numFmtId="0" fontId="15" fillId="14" borderId="28" xfId="0" applyFont="1" applyFill="1" applyBorder="1" applyAlignment="1">
      <alignment horizontal="left" vertical="center" wrapText="1"/>
    </xf>
    <xf numFmtId="0" fontId="8" fillId="6" borderId="0" xfId="0" applyFont="1" applyFill="1" applyAlignment="1">
      <alignment horizontal="left" vertical="center" wrapText="1"/>
    </xf>
    <xf numFmtId="0" fontId="8" fillId="5" borderId="13" xfId="0" applyFont="1" applyFill="1" applyBorder="1" applyAlignment="1">
      <alignment horizontal="center" vertical="center" wrapText="1"/>
    </xf>
    <xf numFmtId="0" fontId="4" fillId="11" borderId="8" xfId="0" applyFont="1" applyFill="1" applyBorder="1" applyAlignment="1">
      <alignment horizontal="center" vertical="center" wrapText="1"/>
    </xf>
    <xf numFmtId="0" fontId="4" fillId="11" borderId="9"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4" fillId="11" borderId="11" xfId="0" applyFont="1" applyFill="1" applyBorder="1" applyAlignment="1">
      <alignment horizontal="center" vertical="center" wrapText="1"/>
    </xf>
    <xf numFmtId="0" fontId="10" fillId="14" borderId="25" xfId="0" applyFont="1" applyFill="1" applyBorder="1" applyAlignment="1">
      <alignment horizontal="left" vertical="center" wrapText="1"/>
    </xf>
    <xf numFmtId="0" fontId="24" fillId="8" borderId="25" xfId="0" applyFont="1" applyFill="1" applyBorder="1" applyAlignment="1">
      <alignment horizontal="center" vertical="center" wrapText="1"/>
    </xf>
    <xf numFmtId="0" fontId="3" fillId="6" borderId="25"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9" fillId="6" borderId="25" xfId="0" applyFont="1" applyFill="1" applyBorder="1" applyAlignment="1">
      <alignment horizontal="left" vertical="center" wrapText="1"/>
    </xf>
    <xf numFmtId="0" fontId="8" fillId="5" borderId="25" xfId="0" applyFont="1" applyFill="1" applyBorder="1" applyAlignment="1">
      <alignment horizontal="center" vertical="center" wrapText="1"/>
    </xf>
    <xf numFmtId="0" fontId="10" fillId="10" borderId="13" xfId="0" applyFont="1" applyFill="1" applyBorder="1" applyAlignment="1">
      <alignment horizontal="center" vertical="center" wrapText="1"/>
    </xf>
    <xf numFmtId="0" fontId="10" fillId="10" borderId="12" xfId="0" applyFont="1" applyFill="1" applyBorder="1" applyAlignment="1">
      <alignment horizontal="center" vertical="center" wrapText="1"/>
    </xf>
    <xf numFmtId="0" fontId="10" fillId="10" borderId="12" xfId="0" applyFont="1" applyFill="1" applyBorder="1" applyAlignment="1">
      <alignment horizontal="center" vertical="center"/>
    </xf>
    <xf numFmtId="0" fontId="26" fillId="7" borderId="0" xfId="0" applyFont="1" applyFill="1"/>
    <xf numFmtId="0" fontId="10" fillId="15" borderId="8" xfId="0" applyFont="1" applyFill="1" applyBorder="1" applyAlignment="1">
      <alignment horizontal="left" vertical="center" wrapText="1"/>
    </xf>
    <xf numFmtId="0" fontId="10" fillId="16" borderId="33" xfId="0" applyFont="1" applyFill="1" applyBorder="1" applyAlignment="1">
      <alignment horizontal="left" vertical="center" wrapText="1"/>
    </xf>
    <xf numFmtId="0" fontId="4" fillId="12" borderId="52" xfId="0" applyFont="1" applyFill="1" applyBorder="1" applyAlignment="1">
      <alignment horizontal="center" vertical="center" wrapText="1"/>
    </xf>
    <xf numFmtId="0" fontId="4" fillId="12" borderId="54" xfId="0" applyFont="1" applyFill="1" applyBorder="1" applyAlignment="1">
      <alignment horizontal="center" vertical="center" wrapText="1"/>
    </xf>
    <xf numFmtId="0" fontId="27" fillId="10" borderId="59" xfId="0" applyFont="1" applyFill="1" applyBorder="1" applyAlignment="1">
      <alignment horizontal="center" vertical="center" wrapText="1"/>
    </xf>
    <xf numFmtId="0" fontId="27" fillId="10" borderId="36" xfId="0" applyFont="1" applyFill="1" applyBorder="1" applyAlignment="1">
      <alignment horizontal="center" vertical="center" wrapText="1"/>
    </xf>
    <xf numFmtId="0" fontId="10" fillId="6" borderId="2" xfId="0" applyFont="1" applyFill="1" applyBorder="1" applyAlignment="1">
      <alignment horizontal="left" vertical="center" wrapText="1"/>
    </xf>
    <xf numFmtId="0" fontId="10" fillId="6" borderId="3"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7" xfId="0" applyFont="1" applyFill="1" applyBorder="1" applyAlignment="1">
      <alignment horizontal="center" vertical="center"/>
    </xf>
    <xf numFmtId="0" fontId="10" fillId="10" borderId="7" xfId="0" applyFont="1" applyFill="1" applyBorder="1" applyAlignment="1">
      <alignment horizontal="center" vertical="center" wrapText="1"/>
    </xf>
    <xf numFmtId="0" fontId="26" fillId="10" borderId="71" xfId="0" applyFont="1" applyFill="1" applyBorder="1" applyAlignment="1">
      <alignment horizontal="center" vertical="center" wrapText="1"/>
    </xf>
    <xf numFmtId="0" fontId="4" fillId="12" borderId="51" xfId="0" applyFont="1" applyFill="1" applyBorder="1" applyAlignment="1">
      <alignment horizontal="center" vertical="center" wrapText="1"/>
    </xf>
    <xf numFmtId="0" fontId="4" fillId="12" borderId="69" xfId="0" applyFont="1" applyFill="1" applyBorder="1" applyAlignment="1">
      <alignment horizontal="center" vertical="center" wrapText="1"/>
    </xf>
    <xf numFmtId="0" fontId="4" fillId="12" borderId="70" xfId="0" applyFont="1" applyFill="1" applyBorder="1" applyAlignment="1">
      <alignment horizontal="center" vertical="center" wrapText="1"/>
    </xf>
    <xf numFmtId="0" fontId="26" fillId="17" borderId="2" xfId="0" applyFont="1" applyFill="1" applyBorder="1" applyAlignment="1">
      <alignment horizontal="left" vertical="center" wrapText="1"/>
    </xf>
    <xf numFmtId="0" fontId="26" fillId="17" borderId="3" xfId="0" applyFont="1" applyFill="1" applyBorder="1" applyAlignment="1">
      <alignment horizontal="center" vertical="center" wrapText="1"/>
    </xf>
    <xf numFmtId="0" fontId="26" fillId="17" borderId="4" xfId="0" applyFont="1" applyFill="1" applyBorder="1" applyAlignment="1">
      <alignment horizontal="center" vertical="center" wrapText="1"/>
    </xf>
    <xf numFmtId="0" fontId="26" fillId="17" borderId="5"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20" fillId="17" borderId="7" xfId="0"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31"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5" borderId="2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5" fillId="5" borderId="14" xfId="0" applyFont="1" applyFill="1" applyBorder="1" applyAlignment="1">
      <alignment horizontal="left" vertical="center" wrapText="1"/>
    </xf>
    <xf numFmtId="0" fontId="5" fillId="5" borderId="5" xfId="0" applyFont="1" applyFill="1" applyBorder="1" applyAlignment="1">
      <alignment horizontal="left" vertical="center" wrapText="1"/>
    </xf>
    <xf numFmtId="0" fontId="5" fillId="5" borderId="7" xfId="0" applyFont="1" applyFill="1" applyBorder="1" applyAlignment="1">
      <alignment horizontal="left" vertical="center" wrapText="1"/>
    </xf>
    <xf numFmtId="0" fontId="3" fillId="6" borderId="15"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6" borderId="31" xfId="0" applyFont="1" applyFill="1" applyBorder="1" applyAlignment="1">
      <alignment horizontal="center" vertical="center" wrapText="1"/>
    </xf>
    <xf numFmtId="0" fontId="8" fillId="6" borderId="16" xfId="0" applyFont="1" applyFill="1" applyBorder="1" applyAlignment="1">
      <alignment horizontal="left" vertical="center" wrapText="1"/>
    </xf>
    <xf numFmtId="0" fontId="8" fillId="6" borderId="22" xfId="0" applyFont="1" applyFill="1" applyBorder="1" applyAlignment="1">
      <alignment horizontal="left" vertical="center" wrapText="1"/>
    </xf>
    <xf numFmtId="0" fontId="8" fillId="6" borderId="32" xfId="0" applyFont="1" applyFill="1" applyBorder="1" applyAlignment="1">
      <alignment horizontal="left" vertical="center" wrapText="1"/>
    </xf>
    <xf numFmtId="0" fontId="8" fillId="5" borderId="31"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5" borderId="4" xfId="0" applyFont="1" applyFill="1" applyBorder="1" applyAlignment="1">
      <alignment horizontal="left" vertical="center" wrapText="1"/>
    </xf>
    <xf numFmtId="0" fontId="5" fillId="5" borderId="39"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0" fillId="6" borderId="22" xfId="0" applyFont="1" applyFill="1" applyBorder="1" applyAlignment="1">
      <alignment horizontal="left" vertical="center" wrapText="1"/>
    </xf>
    <xf numFmtId="0" fontId="10" fillId="6" borderId="40" xfId="0" applyFont="1" applyFill="1" applyBorder="1" applyAlignment="1">
      <alignment horizontal="left" vertical="center" wrapText="1"/>
    </xf>
    <xf numFmtId="0" fontId="10" fillId="6" borderId="41" xfId="0" applyFont="1" applyFill="1" applyBorder="1" applyAlignment="1">
      <alignment horizontal="left" vertical="center" wrapText="1"/>
    </xf>
    <xf numFmtId="0" fontId="10" fillId="6" borderId="42" xfId="0" applyFont="1" applyFill="1" applyBorder="1" applyAlignment="1">
      <alignment horizontal="left" vertical="center" wrapText="1"/>
    </xf>
    <xf numFmtId="0" fontId="9" fillId="6" borderId="16" xfId="0" applyFont="1" applyFill="1" applyBorder="1" applyAlignment="1">
      <alignment horizontal="left" vertical="center" wrapText="1"/>
    </xf>
    <xf numFmtId="0" fontId="9" fillId="6" borderId="22" xfId="0" applyFont="1" applyFill="1" applyBorder="1" applyAlignment="1">
      <alignment horizontal="left" vertical="center" wrapText="1"/>
    </xf>
    <xf numFmtId="0" fontId="9" fillId="6" borderId="32" xfId="0" applyFont="1" applyFill="1" applyBorder="1" applyAlignment="1">
      <alignment horizontal="left" vertical="center" wrapText="1"/>
    </xf>
    <xf numFmtId="0" fontId="10" fillId="5" borderId="15" xfId="0" applyFont="1" applyFill="1" applyBorder="1" applyAlignment="1">
      <alignment horizontal="center" vertical="center" wrapText="1"/>
    </xf>
    <xf numFmtId="0" fontId="10" fillId="5" borderId="21" xfId="0" applyFont="1" applyFill="1" applyBorder="1" applyAlignment="1">
      <alignment horizontal="center" vertical="center" wrapText="1"/>
    </xf>
    <xf numFmtId="0" fontId="10" fillId="5" borderId="31" xfId="0" applyFont="1" applyFill="1" applyBorder="1" applyAlignment="1">
      <alignment horizontal="center" vertical="center" wrapText="1"/>
    </xf>
    <xf numFmtId="0" fontId="5" fillId="5" borderId="6" xfId="0" applyFont="1" applyFill="1" applyBorder="1" applyAlignment="1">
      <alignment horizontal="left" vertical="center" wrapText="1"/>
    </xf>
    <xf numFmtId="0" fontId="10" fillId="6" borderId="23" xfId="0" applyFont="1" applyFill="1" applyBorder="1" applyAlignment="1">
      <alignment horizontal="center" vertical="center" wrapText="1"/>
    </xf>
    <xf numFmtId="0" fontId="10" fillId="6" borderId="27" xfId="0" applyFont="1" applyFill="1" applyBorder="1" applyAlignment="1">
      <alignment horizontal="center" vertical="center" wrapText="1"/>
    </xf>
    <xf numFmtId="0" fontId="10" fillId="6" borderId="65" xfId="0" applyFont="1" applyFill="1" applyBorder="1" applyAlignment="1">
      <alignment horizontal="center" vertical="center" wrapText="1"/>
    </xf>
    <xf numFmtId="0" fontId="10" fillId="6" borderId="66" xfId="0" applyFont="1" applyFill="1" applyBorder="1" applyAlignment="1">
      <alignment horizontal="left" vertical="center" wrapText="1"/>
    </xf>
    <xf numFmtId="0" fontId="10" fillId="6" borderId="15" xfId="0" applyFont="1" applyFill="1" applyBorder="1" applyAlignment="1">
      <alignment horizontal="left" vertical="center" wrapText="1"/>
    </xf>
    <xf numFmtId="0" fontId="10" fillId="6" borderId="21" xfId="0" applyFont="1" applyFill="1" applyBorder="1" applyAlignment="1">
      <alignment horizontal="left" vertical="center" wrapText="1"/>
    </xf>
    <xf numFmtId="0" fontId="1" fillId="2" borderId="1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5" borderId="8" xfId="0" applyFont="1" applyFill="1" applyBorder="1" applyAlignment="1">
      <alignment horizontal="left" vertical="center" wrapText="1"/>
    </xf>
    <xf numFmtId="0" fontId="5" fillId="5" borderId="11" xfId="0" applyFont="1" applyFill="1" applyBorder="1" applyAlignment="1">
      <alignment horizontal="left" vertical="center" wrapText="1"/>
    </xf>
    <xf numFmtId="0" fontId="5" fillId="5" borderId="10" xfId="0" applyFont="1" applyFill="1" applyBorder="1" applyAlignment="1">
      <alignment horizontal="left" vertical="center" wrapText="1"/>
    </xf>
    <xf numFmtId="0" fontId="5" fillId="5" borderId="38" xfId="0" applyFont="1" applyFill="1" applyBorder="1" applyAlignment="1">
      <alignment horizontal="left" vertical="center" wrapText="1"/>
    </xf>
    <xf numFmtId="0" fontId="8" fillId="6" borderId="21" xfId="0" applyFont="1" applyFill="1" applyBorder="1" applyAlignment="1">
      <alignment horizontal="left" vertical="center" wrapText="1"/>
    </xf>
    <xf numFmtId="0" fontId="8" fillId="6" borderId="31" xfId="0" applyFont="1" applyFill="1" applyBorder="1" applyAlignment="1">
      <alignment horizontal="left" vertical="center" wrapText="1"/>
    </xf>
    <xf numFmtId="0" fontId="5" fillId="5" borderId="51" xfId="0" applyFont="1" applyFill="1" applyBorder="1" applyAlignment="1">
      <alignment horizontal="left" vertical="center" wrapText="1"/>
    </xf>
    <xf numFmtId="0" fontId="5" fillId="5" borderId="52" xfId="0" applyFont="1" applyFill="1" applyBorder="1" applyAlignment="1">
      <alignment horizontal="left" vertical="center" wrapText="1"/>
    </xf>
    <xf numFmtId="0" fontId="5" fillId="5" borderId="53" xfId="0" applyFont="1" applyFill="1" applyBorder="1" applyAlignment="1">
      <alignment horizontal="left" vertical="center" wrapText="1"/>
    </xf>
    <xf numFmtId="0" fontId="5" fillId="5" borderId="54" xfId="0" applyFont="1" applyFill="1" applyBorder="1" applyAlignment="1">
      <alignment horizontal="left" vertical="center" wrapText="1"/>
    </xf>
    <xf numFmtId="0" fontId="9" fillId="6" borderId="15" xfId="0" applyFont="1" applyFill="1" applyBorder="1" applyAlignment="1">
      <alignment horizontal="left" vertical="center" wrapText="1"/>
    </xf>
    <xf numFmtId="0" fontId="9" fillId="6" borderId="21" xfId="0" applyFont="1" applyFill="1" applyBorder="1" applyAlignment="1">
      <alignment horizontal="left" vertical="center" wrapText="1"/>
    </xf>
    <xf numFmtId="0" fontId="29" fillId="5"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3603387</xdr:colOff>
      <xdr:row>113</xdr:row>
      <xdr:rowOff>28511</xdr:rowOff>
    </xdr:from>
    <xdr:to>
      <xdr:col>0</xdr:col>
      <xdr:colOff>3866277</xdr:colOff>
      <xdr:row>114</xdr:row>
      <xdr:rowOff>130112</xdr:rowOff>
    </xdr:to>
    <xdr:pic>
      <xdr:nvPicPr>
        <xdr:cNvPr id="8" name="Image 7">
          <a:extLst>
            <a:ext uri="{FF2B5EF4-FFF2-40B4-BE49-F238E27FC236}">
              <a16:creationId xmlns:a16="http://schemas.microsoft.com/office/drawing/2014/main" id="{58440358-E8E0-439F-AAF6-E72D9284DE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03387" y="28054871"/>
          <a:ext cx="266700" cy="28067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1446-02EB-4B38-959D-D91C4AEDCB4B}">
  <sheetPr>
    <tabColor rgb="FF92D050"/>
    <pageSetUpPr fitToPage="1"/>
  </sheetPr>
  <dimension ref="A1:I80"/>
  <sheetViews>
    <sheetView zoomScale="110" zoomScaleNormal="110" workbookViewId="0">
      <pane ySplit="3" topLeftCell="A4" activePane="bottomLeft" state="frozen"/>
      <selection pane="bottomLeft" activeCell="A24" sqref="A24"/>
    </sheetView>
  </sheetViews>
  <sheetFormatPr defaultColWidth="11.42578125" defaultRowHeight="13.9"/>
  <cols>
    <col min="1" max="1" width="62.7109375" style="1" customWidth="1"/>
    <col min="2" max="2" width="11.42578125" style="97"/>
    <col min="3" max="3" width="9.28515625" style="97" customWidth="1"/>
    <col min="4" max="4" width="10.7109375" style="97" customWidth="1"/>
    <col min="5" max="5" width="12.140625" style="1" bestFit="1" customWidth="1"/>
    <col min="6" max="6" width="19.42578125" style="1" bestFit="1" customWidth="1"/>
    <col min="7" max="7" width="126.7109375" style="1" hidden="1" customWidth="1"/>
    <col min="8" max="8" width="48.28515625" style="1" customWidth="1"/>
    <col min="9" max="9" width="40" style="1" customWidth="1"/>
    <col min="10" max="16384" width="11.42578125" style="1"/>
  </cols>
  <sheetData>
    <row r="1" spans="1:9" ht="36" customHeight="1">
      <c r="A1" s="267" t="s">
        <v>0</v>
      </c>
      <c r="B1" s="267"/>
      <c r="C1" s="267"/>
      <c r="D1" s="267"/>
      <c r="E1" s="267"/>
      <c r="F1" s="267"/>
      <c r="G1" s="267"/>
      <c r="H1" s="267"/>
      <c r="I1" s="267"/>
    </row>
    <row r="2" spans="1:9" ht="18.600000000000001" thickBot="1">
      <c r="A2" s="268" t="s">
        <v>1</v>
      </c>
      <c r="B2" s="268"/>
      <c r="C2" s="268"/>
      <c r="D2" s="268"/>
      <c r="E2" s="268"/>
      <c r="F2" s="268"/>
      <c r="G2" s="268"/>
      <c r="H2" s="268"/>
      <c r="I2" s="268"/>
    </row>
    <row r="3" spans="1:9" ht="28.15" thickBot="1">
      <c r="A3" s="2" t="s">
        <v>2</v>
      </c>
      <c r="B3" s="3" t="s">
        <v>3</v>
      </c>
      <c r="C3" s="4" t="s">
        <v>4</v>
      </c>
      <c r="D3" s="5" t="s">
        <v>5</v>
      </c>
      <c r="E3" s="6" t="s">
        <v>6</v>
      </c>
      <c r="F3" s="4" t="s">
        <v>7</v>
      </c>
      <c r="G3" s="7" t="s">
        <v>8</v>
      </c>
      <c r="H3" s="7" t="s">
        <v>9</v>
      </c>
      <c r="I3" s="7" t="s">
        <v>10</v>
      </c>
    </row>
    <row r="4" spans="1:9" ht="28.15" thickBot="1">
      <c r="A4" s="8" t="s">
        <v>11</v>
      </c>
      <c r="B4" s="9">
        <f>SUM(B6:B15)</f>
        <v>133</v>
      </c>
      <c r="C4" s="9"/>
      <c r="D4" s="10" t="s">
        <v>12</v>
      </c>
      <c r="E4" s="11" t="s">
        <v>12</v>
      </c>
      <c r="F4" s="12" t="s">
        <v>12</v>
      </c>
      <c r="G4" s="13" t="s">
        <v>12</v>
      </c>
      <c r="H4" s="163" t="s">
        <v>13</v>
      </c>
      <c r="I4" s="163" t="s">
        <v>13</v>
      </c>
    </row>
    <row r="5" spans="1:9" ht="21" customHeight="1" thickBot="1">
      <c r="A5" s="269" t="s">
        <v>14</v>
      </c>
      <c r="B5" s="270"/>
      <c r="C5" s="270"/>
      <c r="D5" s="270"/>
      <c r="E5" s="271"/>
      <c r="F5" s="272" t="s">
        <v>15</v>
      </c>
      <c r="G5" s="275" t="s">
        <v>16</v>
      </c>
      <c r="H5" s="265" t="s">
        <v>17</v>
      </c>
      <c r="I5" s="265" t="s">
        <v>18</v>
      </c>
    </row>
    <row r="6" spans="1:9" ht="21" customHeight="1">
      <c r="A6" s="15" t="s">
        <v>19</v>
      </c>
      <c r="B6" s="169">
        <v>21</v>
      </c>
      <c r="C6" s="16">
        <f>B6/3.5</f>
        <v>6</v>
      </c>
      <c r="D6" s="16" t="s">
        <v>20</v>
      </c>
      <c r="E6" s="17" t="s">
        <v>21</v>
      </c>
      <c r="F6" s="273"/>
      <c r="G6" s="276"/>
      <c r="H6" s="266"/>
      <c r="I6" s="266"/>
    </row>
    <row r="7" spans="1:9" ht="21" customHeight="1">
      <c r="A7" s="18" t="s">
        <v>22</v>
      </c>
      <c r="B7" s="170">
        <v>14</v>
      </c>
      <c r="C7" s="16">
        <f>B7/3.5</f>
        <v>4</v>
      </c>
      <c r="D7" s="19" t="s">
        <v>20</v>
      </c>
      <c r="E7" s="20" t="s">
        <v>23</v>
      </c>
      <c r="F7" s="273"/>
      <c r="G7" s="276"/>
      <c r="H7" s="266"/>
      <c r="I7" s="266"/>
    </row>
    <row r="8" spans="1:9" ht="21" customHeight="1" thickBot="1">
      <c r="A8" s="221" t="s">
        <v>24</v>
      </c>
      <c r="B8" s="171">
        <v>14</v>
      </c>
      <c r="C8" s="16">
        <f>B8/3.5</f>
        <v>4</v>
      </c>
      <c r="D8" s="21" t="s">
        <v>20</v>
      </c>
      <c r="E8" s="22" t="s">
        <v>25</v>
      </c>
      <c r="F8" s="274"/>
      <c r="G8" s="277"/>
      <c r="H8" s="278"/>
      <c r="I8" s="266"/>
    </row>
    <row r="9" spans="1:9" ht="21" customHeight="1" thickBot="1">
      <c r="A9" s="269" t="s">
        <v>26</v>
      </c>
      <c r="B9" s="270"/>
      <c r="C9" s="270"/>
      <c r="D9" s="270"/>
      <c r="E9" s="271"/>
      <c r="F9" s="272" t="s">
        <v>27</v>
      </c>
      <c r="G9" s="275" t="s">
        <v>28</v>
      </c>
      <c r="H9" s="265" t="s">
        <v>29</v>
      </c>
      <c r="I9" s="266"/>
    </row>
    <row r="10" spans="1:9" ht="21" customHeight="1">
      <c r="A10" s="15" t="s">
        <v>30</v>
      </c>
      <c r="B10" s="16">
        <v>21</v>
      </c>
      <c r="C10" s="16">
        <f>B10/3.5</f>
        <v>6</v>
      </c>
      <c r="D10" s="19" t="s">
        <v>20</v>
      </c>
      <c r="E10" s="17" t="s">
        <v>31</v>
      </c>
      <c r="F10" s="273"/>
      <c r="G10" s="276"/>
      <c r="H10" s="266"/>
      <c r="I10" s="266"/>
    </row>
    <row r="11" spans="1:9" ht="21" customHeight="1">
      <c r="A11" s="18" t="s">
        <v>32</v>
      </c>
      <c r="B11" s="19">
        <v>21</v>
      </c>
      <c r="C11" s="16">
        <f>B11/3.5</f>
        <v>6</v>
      </c>
      <c r="D11" s="19" t="s">
        <v>20</v>
      </c>
      <c r="E11" s="20" t="s">
        <v>33</v>
      </c>
      <c r="F11" s="273"/>
      <c r="G11" s="276"/>
      <c r="H11" s="266"/>
      <c r="I11" s="266"/>
    </row>
    <row r="12" spans="1:9" ht="21" customHeight="1" thickBot="1">
      <c r="A12" s="18" t="s">
        <v>34</v>
      </c>
      <c r="B12" s="19">
        <v>14</v>
      </c>
      <c r="C12" s="16">
        <f>B12/3.5</f>
        <v>4</v>
      </c>
      <c r="D12" s="19" t="s">
        <v>20</v>
      </c>
      <c r="E12" s="20" t="s">
        <v>35</v>
      </c>
      <c r="F12" s="273"/>
      <c r="G12" s="277"/>
      <c r="H12" s="266"/>
      <c r="I12" s="266"/>
    </row>
    <row r="13" spans="1:9" ht="21" customHeight="1" thickBot="1">
      <c r="A13" s="269" t="s">
        <v>36</v>
      </c>
      <c r="B13" s="270"/>
      <c r="C13" s="270"/>
      <c r="D13" s="270"/>
      <c r="E13" s="271"/>
      <c r="F13" s="273"/>
      <c r="G13" s="275" t="s">
        <v>37</v>
      </c>
      <c r="H13" s="266"/>
      <c r="I13" s="266"/>
    </row>
    <row r="14" spans="1:9" ht="21" customHeight="1">
      <c r="A14" s="15" t="s">
        <v>38</v>
      </c>
      <c r="B14" s="16">
        <v>17.5</v>
      </c>
      <c r="C14" s="16">
        <f>B14/3.5</f>
        <v>5</v>
      </c>
      <c r="D14" s="16" t="s">
        <v>20</v>
      </c>
      <c r="E14" s="17" t="s">
        <v>39</v>
      </c>
      <c r="F14" s="273"/>
      <c r="G14" s="276"/>
      <c r="H14" s="266"/>
      <c r="I14" s="266"/>
    </row>
    <row r="15" spans="1:9" ht="21" customHeight="1" thickBot="1">
      <c r="A15" s="168" t="s">
        <v>40</v>
      </c>
      <c r="B15" s="166">
        <v>10.5</v>
      </c>
      <c r="C15" s="166">
        <f>B15/3.5</f>
        <v>3</v>
      </c>
      <c r="D15" s="166" t="s">
        <v>41</v>
      </c>
      <c r="E15" s="167" t="s">
        <v>31</v>
      </c>
      <c r="F15" s="274"/>
      <c r="G15" s="277"/>
      <c r="H15" s="266"/>
      <c r="I15" s="266"/>
    </row>
    <row r="16" spans="1:9" ht="28.15" thickBot="1">
      <c r="A16" s="25" t="s">
        <v>42</v>
      </c>
      <c r="B16" s="26">
        <f>SUM(B18:B29)</f>
        <v>143.5</v>
      </c>
      <c r="C16" s="26"/>
      <c r="D16" s="27" t="s">
        <v>12</v>
      </c>
      <c r="E16" s="28" t="s">
        <v>12</v>
      </c>
      <c r="F16" s="29" t="s">
        <v>12</v>
      </c>
      <c r="G16" s="30" t="s">
        <v>12</v>
      </c>
      <c r="H16" s="14" t="s">
        <v>13</v>
      </c>
      <c r="I16" s="14" t="s">
        <v>13</v>
      </c>
    </row>
    <row r="17" spans="1:9" ht="21.4" customHeight="1" thickBot="1">
      <c r="A17" s="269" t="s">
        <v>43</v>
      </c>
      <c r="B17" s="270"/>
      <c r="C17" s="270"/>
      <c r="D17" s="270"/>
      <c r="E17" s="271"/>
      <c r="F17" s="272" t="s">
        <v>44</v>
      </c>
      <c r="G17" s="287" t="s">
        <v>45</v>
      </c>
      <c r="H17" s="265" t="s">
        <v>46</v>
      </c>
      <c r="I17" s="265" t="s">
        <v>47</v>
      </c>
    </row>
    <row r="18" spans="1:9" ht="21.4" customHeight="1">
      <c r="A18" s="15" t="s">
        <v>48</v>
      </c>
      <c r="B18" s="31">
        <v>14</v>
      </c>
      <c r="C18" s="16">
        <f>B18/3.5</f>
        <v>4</v>
      </c>
      <c r="D18" s="16" t="s">
        <v>20</v>
      </c>
      <c r="E18" s="32" t="s">
        <v>49</v>
      </c>
      <c r="F18" s="273"/>
      <c r="G18" s="288"/>
      <c r="H18" s="266"/>
      <c r="I18" s="266"/>
    </row>
    <row r="19" spans="1:9" ht="21.4" customHeight="1">
      <c r="A19" s="15" t="s">
        <v>50</v>
      </c>
      <c r="B19" s="31">
        <v>14</v>
      </c>
      <c r="C19" s="16">
        <f>B19/3.5</f>
        <v>4</v>
      </c>
      <c r="D19" s="19" t="s">
        <v>20</v>
      </c>
      <c r="E19" s="32" t="s">
        <v>51</v>
      </c>
      <c r="F19" s="273"/>
      <c r="G19" s="288"/>
      <c r="H19" s="266"/>
      <c r="I19" s="266"/>
    </row>
    <row r="20" spans="1:9" ht="21.4" customHeight="1" thickBot="1">
      <c r="A20" s="174" t="s">
        <v>52</v>
      </c>
      <c r="B20" s="172">
        <v>10.5</v>
      </c>
      <c r="C20" s="16">
        <f>B20/3.5</f>
        <v>3</v>
      </c>
      <c r="D20" s="172" t="s">
        <v>41</v>
      </c>
      <c r="E20" s="173" t="s">
        <v>53</v>
      </c>
      <c r="F20" s="273"/>
      <c r="G20" s="289"/>
      <c r="H20" s="266"/>
      <c r="I20" s="266"/>
    </row>
    <row r="21" spans="1:9" ht="21.4" customHeight="1" thickBot="1">
      <c r="A21" s="269" t="s">
        <v>54</v>
      </c>
      <c r="B21" s="270"/>
      <c r="C21" s="270"/>
      <c r="D21" s="270"/>
      <c r="E21" s="271"/>
      <c r="F21" s="273"/>
      <c r="G21" s="275" t="s">
        <v>55</v>
      </c>
      <c r="H21" s="266"/>
      <c r="I21" s="266"/>
    </row>
    <row r="22" spans="1:9" ht="21.4" customHeight="1">
      <c r="A22" s="15" t="s">
        <v>56</v>
      </c>
      <c r="B22" s="33">
        <v>17.5</v>
      </c>
      <c r="C22" s="34">
        <f>B22/3.5</f>
        <v>5</v>
      </c>
      <c r="D22" s="34" t="s">
        <v>20</v>
      </c>
      <c r="E22" s="35" t="s">
        <v>57</v>
      </c>
      <c r="F22" s="273"/>
      <c r="G22" s="276"/>
      <c r="H22" s="266"/>
      <c r="I22" s="266"/>
    </row>
    <row r="23" spans="1:9" ht="21.4" customHeight="1">
      <c r="A23" s="36" t="s">
        <v>58</v>
      </c>
      <c r="B23" s="37">
        <v>14</v>
      </c>
      <c r="C23" s="34">
        <f t="shared" ref="C23:C29" si="0">B23/3.5</f>
        <v>4</v>
      </c>
      <c r="D23" s="38" t="s">
        <v>41</v>
      </c>
      <c r="E23" s="39" t="s">
        <v>57</v>
      </c>
      <c r="F23" s="273"/>
      <c r="G23" s="276"/>
      <c r="H23" s="266"/>
      <c r="I23" s="266"/>
    </row>
    <row r="24" spans="1:9" ht="21.4" customHeight="1">
      <c r="A24" s="15" t="s">
        <v>59</v>
      </c>
      <c r="B24" s="31">
        <v>17.5</v>
      </c>
      <c r="C24" s="34">
        <f t="shared" si="0"/>
        <v>5</v>
      </c>
      <c r="D24" s="16" t="s">
        <v>20</v>
      </c>
      <c r="E24" s="32" t="s">
        <v>57</v>
      </c>
      <c r="F24" s="273"/>
      <c r="G24" s="276"/>
      <c r="H24" s="266"/>
      <c r="I24" s="266"/>
    </row>
    <row r="25" spans="1:9" ht="21.4" customHeight="1">
      <c r="A25" s="15" t="s">
        <v>60</v>
      </c>
      <c r="B25" s="31">
        <v>10.5</v>
      </c>
      <c r="C25" s="34">
        <f t="shared" si="0"/>
        <v>3</v>
      </c>
      <c r="D25" s="16" t="s">
        <v>20</v>
      </c>
      <c r="E25" s="32" t="s">
        <v>57</v>
      </c>
      <c r="F25" s="273"/>
      <c r="G25" s="276"/>
      <c r="H25" s="266"/>
      <c r="I25" s="266"/>
    </row>
    <row r="26" spans="1:9" ht="21.4" customHeight="1">
      <c r="A26" s="15" t="s">
        <v>61</v>
      </c>
      <c r="B26" s="33">
        <v>10.5</v>
      </c>
      <c r="C26" s="34">
        <f t="shared" si="0"/>
        <v>3</v>
      </c>
      <c r="D26" s="34" t="s">
        <v>41</v>
      </c>
      <c r="E26" s="35" t="s">
        <v>57</v>
      </c>
      <c r="F26" s="273"/>
      <c r="G26" s="276"/>
      <c r="H26" s="266"/>
      <c r="I26" s="266"/>
    </row>
    <row r="27" spans="1:9" ht="21.4" customHeight="1">
      <c r="A27" s="15" t="s">
        <v>62</v>
      </c>
      <c r="B27" s="31">
        <v>14</v>
      </c>
      <c r="C27" s="34">
        <f t="shared" si="0"/>
        <v>4</v>
      </c>
      <c r="D27" s="16" t="s">
        <v>20</v>
      </c>
      <c r="E27" s="32" t="s">
        <v>57</v>
      </c>
      <c r="F27" s="273"/>
      <c r="G27" s="276"/>
      <c r="H27" s="266"/>
      <c r="I27" s="266"/>
    </row>
    <row r="28" spans="1:9" ht="21.4" customHeight="1">
      <c r="A28" s="128" t="s">
        <v>63</v>
      </c>
      <c r="B28" s="129">
        <v>14</v>
      </c>
      <c r="C28" s="206">
        <f t="shared" si="0"/>
        <v>4</v>
      </c>
      <c r="D28" s="207" t="s">
        <v>41</v>
      </c>
      <c r="E28" s="131" t="s">
        <v>64</v>
      </c>
      <c r="F28" s="273"/>
      <c r="G28" s="276"/>
      <c r="H28" s="266"/>
      <c r="I28" s="266"/>
    </row>
    <row r="29" spans="1:9" ht="21.4" customHeight="1" thickBot="1">
      <c r="A29" s="229" t="s">
        <v>65</v>
      </c>
      <c r="B29" s="19">
        <v>7</v>
      </c>
      <c r="C29" s="115">
        <f t="shared" si="0"/>
        <v>2</v>
      </c>
      <c r="D29" s="230" t="s">
        <v>41</v>
      </c>
      <c r="E29" s="19"/>
      <c r="F29" s="231"/>
      <c r="G29" s="222"/>
      <c r="H29" s="223"/>
      <c r="I29" s="223"/>
    </row>
    <row r="30" spans="1:9" ht="14.45" thickBot="1">
      <c r="A30" s="224" t="s">
        <v>66</v>
      </c>
      <c r="B30" s="225">
        <f>(B31+B40)/2</f>
        <v>94.5</v>
      </c>
      <c r="C30" s="226"/>
      <c r="D30" s="226" t="s">
        <v>12</v>
      </c>
      <c r="E30" s="227" t="s">
        <v>12</v>
      </c>
      <c r="F30" s="228" t="s">
        <v>12</v>
      </c>
      <c r="G30" s="43" t="s">
        <v>12</v>
      </c>
      <c r="H30" s="43"/>
      <c r="I30" s="43"/>
    </row>
    <row r="31" spans="1:9" ht="28.15" thickBot="1">
      <c r="A31" s="44" t="s">
        <v>67</v>
      </c>
      <c r="B31" s="45">
        <f>SUM(B33:B39)</f>
        <v>94.5</v>
      </c>
      <c r="C31" s="45"/>
      <c r="D31" s="46" t="s">
        <v>12</v>
      </c>
      <c r="E31" s="47" t="s">
        <v>12</v>
      </c>
      <c r="F31" s="48" t="s">
        <v>12</v>
      </c>
      <c r="G31" s="49" t="s">
        <v>12</v>
      </c>
      <c r="H31" s="164" t="s">
        <v>68</v>
      </c>
      <c r="I31" s="164" t="s">
        <v>68</v>
      </c>
    </row>
    <row r="32" spans="1:9" ht="21.4" customHeight="1" thickBot="1">
      <c r="A32" s="279" t="s">
        <v>69</v>
      </c>
      <c r="B32" s="280"/>
      <c r="C32" s="280"/>
      <c r="D32" s="280"/>
      <c r="E32" s="281"/>
      <c r="F32" s="262" t="s">
        <v>70</v>
      </c>
      <c r="G32" s="284" t="s">
        <v>71</v>
      </c>
      <c r="H32" s="262"/>
      <c r="I32" s="262"/>
    </row>
    <row r="33" spans="1:9" ht="21.4" customHeight="1">
      <c r="A33" s="177" t="s">
        <v>72</v>
      </c>
      <c r="B33" s="169">
        <v>10.5</v>
      </c>
      <c r="C33" s="169">
        <f>B33/3.5</f>
        <v>3</v>
      </c>
      <c r="D33" s="169" t="s">
        <v>41</v>
      </c>
      <c r="E33" s="175" t="s">
        <v>73</v>
      </c>
      <c r="F33" s="263"/>
      <c r="G33" s="285"/>
      <c r="H33" s="263"/>
      <c r="I33" s="263"/>
    </row>
    <row r="34" spans="1:9" ht="21.4" customHeight="1">
      <c r="A34" s="178" t="s">
        <v>74</v>
      </c>
      <c r="B34" s="170">
        <v>14</v>
      </c>
      <c r="C34" s="169">
        <f t="shared" ref="C34:C39" si="1">B34/3.5</f>
        <v>4</v>
      </c>
      <c r="D34" s="170" t="s">
        <v>41</v>
      </c>
      <c r="E34" s="176" t="s">
        <v>75</v>
      </c>
      <c r="F34" s="263"/>
      <c r="G34" s="286"/>
      <c r="H34" s="263"/>
      <c r="I34" s="263"/>
    </row>
    <row r="35" spans="1:9" ht="21.4" customHeight="1">
      <c r="A35" s="52" t="s">
        <v>76</v>
      </c>
      <c r="B35" s="19">
        <v>14</v>
      </c>
      <c r="C35" s="169">
        <f t="shared" si="1"/>
        <v>4</v>
      </c>
      <c r="D35" s="19" t="s">
        <v>41</v>
      </c>
      <c r="E35" s="20" t="s">
        <v>77</v>
      </c>
      <c r="F35" s="263"/>
      <c r="G35" s="286"/>
      <c r="H35" s="263"/>
      <c r="I35" s="263"/>
    </row>
    <row r="36" spans="1:9" ht="21.4" customHeight="1">
      <c r="A36" s="53" t="s">
        <v>78</v>
      </c>
      <c r="B36" s="19">
        <v>14</v>
      </c>
      <c r="C36" s="169">
        <f t="shared" si="1"/>
        <v>4</v>
      </c>
      <c r="D36" s="19" t="s">
        <v>20</v>
      </c>
      <c r="E36" s="20" t="s">
        <v>75</v>
      </c>
      <c r="F36" s="263"/>
      <c r="G36" s="286"/>
      <c r="H36" s="263"/>
      <c r="I36" s="263"/>
    </row>
    <row r="37" spans="1:9" ht="21.4" customHeight="1">
      <c r="A37" s="52" t="s">
        <v>79</v>
      </c>
      <c r="B37" s="19">
        <v>10.5</v>
      </c>
      <c r="C37" s="169">
        <f t="shared" si="1"/>
        <v>3</v>
      </c>
      <c r="D37" s="19" t="s">
        <v>41</v>
      </c>
      <c r="E37" s="20" t="s">
        <v>75</v>
      </c>
      <c r="F37" s="263"/>
      <c r="G37" s="286"/>
      <c r="H37" s="263"/>
      <c r="I37" s="263"/>
    </row>
    <row r="38" spans="1:9" ht="21.4" customHeight="1">
      <c r="A38" s="53" t="s">
        <v>80</v>
      </c>
      <c r="B38" s="19">
        <v>14</v>
      </c>
      <c r="C38" s="169">
        <f t="shared" si="1"/>
        <v>4</v>
      </c>
      <c r="D38" s="19" t="s">
        <v>41</v>
      </c>
      <c r="E38" s="20" t="s">
        <v>77</v>
      </c>
      <c r="F38" s="263"/>
      <c r="G38" s="286"/>
      <c r="H38" s="263"/>
      <c r="I38" s="263"/>
    </row>
    <row r="39" spans="1:9" ht="21.4" customHeight="1" thickBot="1">
      <c r="A39" s="52" t="s">
        <v>81</v>
      </c>
      <c r="B39" s="19">
        <v>17.5</v>
      </c>
      <c r="C39" s="169">
        <f t="shared" si="1"/>
        <v>5</v>
      </c>
      <c r="D39" s="19" t="s">
        <v>41</v>
      </c>
      <c r="E39" s="20" t="s">
        <v>77</v>
      </c>
      <c r="F39" s="264"/>
      <c r="G39" s="54"/>
      <c r="H39" s="264"/>
      <c r="I39" s="264"/>
    </row>
    <row r="40" spans="1:9" ht="28.15" thickBot="1">
      <c r="A40" s="44" t="s">
        <v>82</v>
      </c>
      <c r="B40" s="45">
        <f>SUM(B42:B50)</f>
        <v>94.5</v>
      </c>
      <c r="C40" s="45"/>
      <c r="D40" s="46" t="s">
        <v>12</v>
      </c>
      <c r="E40" s="47" t="s">
        <v>12</v>
      </c>
      <c r="F40" s="48" t="s">
        <v>12</v>
      </c>
      <c r="G40" s="49" t="s">
        <v>12</v>
      </c>
      <c r="H40" s="164" t="s">
        <v>68</v>
      </c>
      <c r="I40" s="164" t="s">
        <v>68</v>
      </c>
    </row>
    <row r="41" spans="1:9" ht="21.4" customHeight="1" thickBot="1">
      <c r="A41" s="279" t="s">
        <v>83</v>
      </c>
      <c r="B41" s="280"/>
      <c r="C41" s="280"/>
      <c r="D41" s="280"/>
      <c r="E41" s="281"/>
      <c r="F41" s="262" t="s">
        <v>84</v>
      </c>
      <c r="G41" s="282" t="s">
        <v>85</v>
      </c>
      <c r="H41" s="56"/>
      <c r="I41" s="262"/>
    </row>
    <row r="42" spans="1:9" ht="21.4" customHeight="1">
      <c r="A42" s="57" t="s">
        <v>86</v>
      </c>
      <c r="B42" s="58">
        <v>10.5</v>
      </c>
      <c r="C42" s="58">
        <f>B42/3.5</f>
        <v>3</v>
      </c>
      <c r="D42" s="59" t="s">
        <v>20</v>
      </c>
      <c r="E42" s="32" t="s">
        <v>87</v>
      </c>
      <c r="F42" s="263"/>
      <c r="G42" s="283"/>
      <c r="H42" s="60"/>
      <c r="I42" s="263"/>
    </row>
    <row r="43" spans="1:9" ht="21.4" customHeight="1">
      <c r="A43" s="177" t="s">
        <v>88</v>
      </c>
      <c r="B43" s="37">
        <v>14</v>
      </c>
      <c r="C43" s="58">
        <f t="shared" ref="C43:C50" si="2">B43/3.5</f>
        <v>4</v>
      </c>
      <c r="D43" s="202" t="s">
        <v>20</v>
      </c>
      <c r="E43" s="39" t="s">
        <v>75</v>
      </c>
      <c r="F43" s="263"/>
      <c r="G43" s="283"/>
      <c r="H43" s="60"/>
      <c r="I43" s="263"/>
    </row>
    <row r="44" spans="1:9" ht="21.4" customHeight="1">
      <c r="A44" s="15" t="s">
        <v>89</v>
      </c>
      <c r="B44" s="31">
        <v>14</v>
      </c>
      <c r="C44" s="58">
        <f t="shared" si="2"/>
        <v>4</v>
      </c>
      <c r="D44" s="59" t="s">
        <v>20</v>
      </c>
      <c r="E44" s="32" t="s">
        <v>75</v>
      </c>
      <c r="F44" s="263"/>
      <c r="G44" s="283"/>
      <c r="H44" s="60"/>
      <c r="I44" s="263"/>
    </row>
    <row r="45" spans="1:9" ht="21.4" customHeight="1">
      <c r="A45" s="15" t="s">
        <v>90</v>
      </c>
      <c r="B45" s="31">
        <v>7</v>
      </c>
      <c r="C45" s="58">
        <f t="shared" si="2"/>
        <v>2</v>
      </c>
      <c r="D45" s="59" t="s">
        <v>41</v>
      </c>
      <c r="E45" s="32" t="s">
        <v>75</v>
      </c>
      <c r="F45" s="263"/>
      <c r="G45" s="283"/>
      <c r="H45" s="60"/>
      <c r="I45" s="263"/>
    </row>
    <row r="46" spans="1:9" ht="21.4" customHeight="1">
      <c r="A46" s="15" t="s">
        <v>91</v>
      </c>
      <c r="B46" s="31">
        <v>7</v>
      </c>
      <c r="C46" s="58">
        <f t="shared" si="2"/>
        <v>2</v>
      </c>
      <c r="D46" s="59" t="s">
        <v>41</v>
      </c>
      <c r="E46" s="32" t="s">
        <v>75</v>
      </c>
      <c r="F46" s="263"/>
      <c r="G46" s="283"/>
      <c r="H46" s="60"/>
      <c r="I46" s="263"/>
    </row>
    <row r="47" spans="1:9" ht="21.4" customHeight="1">
      <c r="A47" s="15" t="s">
        <v>92</v>
      </c>
      <c r="B47" s="31">
        <v>10.5</v>
      </c>
      <c r="C47" s="58">
        <f t="shared" si="2"/>
        <v>3</v>
      </c>
      <c r="D47" s="59" t="s">
        <v>41</v>
      </c>
      <c r="E47" s="32" t="s">
        <v>77</v>
      </c>
      <c r="F47" s="263"/>
      <c r="G47" s="283"/>
      <c r="H47" s="60"/>
      <c r="I47" s="263"/>
    </row>
    <row r="48" spans="1:9" ht="21.4" customHeight="1">
      <c r="A48" s="15" t="s">
        <v>93</v>
      </c>
      <c r="B48" s="31">
        <v>10.5</v>
      </c>
      <c r="C48" s="58">
        <f t="shared" si="2"/>
        <v>3</v>
      </c>
      <c r="D48" s="59" t="s">
        <v>41</v>
      </c>
      <c r="E48" s="32" t="s">
        <v>77</v>
      </c>
      <c r="F48" s="263"/>
      <c r="G48" s="283"/>
      <c r="H48" s="60"/>
      <c r="I48" s="263"/>
    </row>
    <row r="49" spans="1:9" ht="21.4" customHeight="1">
      <c r="A49" s="15" t="s">
        <v>94</v>
      </c>
      <c r="B49" s="31">
        <v>10.5</v>
      </c>
      <c r="C49" s="58">
        <f t="shared" si="2"/>
        <v>3</v>
      </c>
      <c r="D49" s="59" t="s">
        <v>41</v>
      </c>
      <c r="E49" s="32" t="s">
        <v>77</v>
      </c>
      <c r="F49" s="263"/>
      <c r="G49" s="283"/>
      <c r="H49" s="60"/>
      <c r="I49" s="263"/>
    </row>
    <row r="50" spans="1:9" ht="21.4" customHeight="1" thickBot="1">
      <c r="A50" s="15" t="s">
        <v>95</v>
      </c>
      <c r="B50" s="31">
        <v>10.5</v>
      </c>
      <c r="C50" s="58">
        <f t="shared" si="2"/>
        <v>3</v>
      </c>
      <c r="D50" s="59" t="s">
        <v>41</v>
      </c>
      <c r="E50" s="32" t="s">
        <v>77</v>
      </c>
      <c r="F50" s="263"/>
      <c r="G50" s="283"/>
      <c r="H50" s="60"/>
      <c r="I50" s="264"/>
    </row>
    <row r="51" spans="1:9" ht="21" customHeight="1" thickBot="1">
      <c r="A51" s="63" t="s">
        <v>96</v>
      </c>
      <c r="B51" s="26">
        <f>SUM(B52:B57)</f>
        <v>87.5</v>
      </c>
      <c r="C51" s="26"/>
      <c r="D51" s="64" t="s">
        <v>12</v>
      </c>
      <c r="E51" s="65" t="s">
        <v>12</v>
      </c>
      <c r="F51" s="66" t="s">
        <v>12</v>
      </c>
      <c r="G51" s="67" t="s">
        <v>12</v>
      </c>
      <c r="H51" s="67"/>
      <c r="I51" s="67" t="s">
        <v>12</v>
      </c>
    </row>
    <row r="52" spans="1:9" ht="21" customHeight="1">
      <c r="A52" s="68" t="s">
        <v>97</v>
      </c>
      <c r="B52" s="31">
        <v>10.5</v>
      </c>
      <c r="C52" s="31">
        <f t="shared" ref="C52:C57" si="3">B52/3.5</f>
        <v>3</v>
      </c>
      <c r="D52" s="69" t="s">
        <v>98</v>
      </c>
      <c r="E52" s="70" t="s">
        <v>99</v>
      </c>
      <c r="F52" s="71" t="s">
        <v>12</v>
      </c>
      <c r="G52" s="78" t="s">
        <v>12</v>
      </c>
      <c r="H52" s="78"/>
      <c r="I52" s="78"/>
    </row>
    <row r="53" spans="1:9" ht="21.4" customHeight="1">
      <c r="A53" s="68" t="s">
        <v>100</v>
      </c>
      <c r="B53" s="31">
        <v>21</v>
      </c>
      <c r="C53" s="31">
        <f t="shared" si="3"/>
        <v>6</v>
      </c>
      <c r="D53" s="69" t="s">
        <v>20</v>
      </c>
      <c r="E53" s="70" t="s">
        <v>101</v>
      </c>
      <c r="F53" s="71" t="s">
        <v>12</v>
      </c>
      <c r="G53" s="72" t="s">
        <v>102</v>
      </c>
      <c r="H53" s="72"/>
      <c r="I53" s="73"/>
    </row>
    <row r="54" spans="1:9" ht="21.4" customHeight="1">
      <c r="A54" s="74" t="s">
        <v>103</v>
      </c>
      <c r="B54" s="31">
        <v>7</v>
      </c>
      <c r="C54" s="31">
        <f t="shared" si="3"/>
        <v>2</v>
      </c>
      <c r="D54" s="69" t="s">
        <v>98</v>
      </c>
      <c r="E54" s="70" t="s">
        <v>104</v>
      </c>
      <c r="F54" s="71" t="s">
        <v>12</v>
      </c>
      <c r="G54" s="72"/>
      <c r="H54" s="72"/>
      <c r="I54" s="73"/>
    </row>
    <row r="55" spans="1:9" ht="21.4" customHeight="1">
      <c r="A55" s="74" t="s">
        <v>105</v>
      </c>
      <c r="B55" s="31">
        <v>7</v>
      </c>
      <c r="C55" s="31">
        <f t="shared" si="3"/>
        <v>2</v>
      </c>
      <c r="D55" s="69" t="s">
        <v>98</v>
      </c>
      <c r="E55" s="70" t="s">
        <v>104</v>
      </c>
      <c r="F55" s="71"/>
      <c r="G55" s="72"/>
      <c r="H55" s="72"/>
      <c r="I55" s="73"/>
    </row>
    <row r="56" spans="1:9" ht="21.4" customHeight="1">
      <c r="A56" s="74" t="s">
        <v>106</v>
      </c>
      <c r="B56" s="31">
        <v>7</v>
      </c>
      <c r="C56" s="31">
        <f t="shared" si="3"/>
        <v>2</v>
      </c>
      <c r="D56" s="69" t="s">
        <v>98</v>
      </c>
      <c r="E56" s="70" t="s">
        <v>104</v>
      </c>
      <c r="F56" s="71"/>
      <c r="G56" s="72"/>
      <c r="H56" s="72"/>
      <c r="I56" s="73"/>
    </row>
    <row r="57" spans="1:9" ht="21" customHeight="1" thickBot="1">
      <c r="A57" s="208" t="s">
        <v>107</v>
      </c>
      <c r="B57" s="61">
        <v>35</v>
      </c>
      <c r="C57" s="61">
        <f t="shared" si="3"/>
        <v>10</v>
      </c>
      <c r="D57" s="76" t="s">
        <v>20</v>
      </c>
      <c r="E57" s="75" t="s">
        <v>104</v>
      </c>
      <c r="F57" s="205"/>
      <c r="G57" s="72"/>
      <c r="H57" s="72"/>
      <c r="I57" s="72"/>
    </row>
    <row r="58" spans="1:9" ht="21" customHeight="1" thickBot="1">
      <c r="A58" s="63" t="s">
        <v>108</v>
      </c>
      <c r="B58" s="26">
        <f>SUM(B59:B60)</f>
        <v>45.5</v>
      </c>
      <c r="C58" s="26"/>
      <c r="D58" s="64" t="s">
        <v>12</v>
      </c>
      <c r="E58" s="65" t="s">
        <v>12</v>
      </c>
      <c r="F58" s="66" t="s">
        <v>12</v>
      </c>
      <c r="G58" s="67" t="s">
        <v>12</v>
      </c>
      <c r="H58" s="67"/>
      <c r="I58" s="67" t="s">
        <v>12</v>
      </c>
    </row>
    <row r="59" spans="1:9" ht="21.4" customHeight="1">
      <c r="A59" s="74" t="s">
        <v>109</v>
      </c>
      <c r="B59" s="31">
        <v>10.5</v>
      </c>
      <c r="C59" s="31">
        <f>B59/3.5</f>
        <v>3</v>
      </c>
      <c r="D59" s="69" t="s">
        <v>98</v>
      </c>
      <c r="E59" s="17" t="s">
        <v>101</v>
      </c>
      <c r="F59" s="71"/>
      <c r="G59" s="72"/>
      <c r="H59" s="72"/>
      <c r="I59" s="73"/>
    </row>
    <row r="60" spans="1:9" ht="21" customHeight="1" thickBot="1">
      <c r="A60" s="68" t="s">
        <v>110</v>
      </c>
      <c r="B60" s="245">
        <v>35</v>
      </c>
      <c r="C60" s="33">
        <f>B60/3.5</f>
        <v>10</v>
      </c>
      <c r="D60" s="59" t="s">
        <v>41</v>
      </c>
      <c r="E60" s="17" t="s">
        <v>101</v>
      </c>
      <c r="F60" s="16" t="s">
        <v>12</v>
      </c>
      <c r="G60" s="77" t="s">
        <v>12</v>
      </c>
      <c r="H60" s="77" t="s">
        <v>111</v>
      </c>
      <c r="I60" s="77"/>
    </row>
    <row r="61" spans="1:9" ht="21" customHeight="1" thickBot="1">
      <c r="A61" s="79" t="s">
        <v>112</v>
      </c>
      <c r="B61" s="80">
        <f>SUM(B62:B65)</f>
        <v>21</v>
      </c>
      <c r="C61" s="80"/>
      <c r="D61" s="81" t="s">
        <v>12</v>
      </c>
      <c r="E61" s="82" t="s">
        <v>12</v>
      </c>
      <c r="F61" s="83" t="s">
        <v>12</v>
      </c>
      <c r="G61" s="84" t="s">
        <v>12</v>
      </c>
      <c r="H61" s="84"/>
      <c r="I61" s="84"/>
    </row>
    <row r="62" spans="1:9" ht="21" customHeight="1">
      <c r="A62" s="204" t="s">
        <v>113</v>
      </c>
      <c r="B62" s="61">
        <v>0</v>
      </c>
      <c r="C62" s="61">
        <f>B62/3.5</f>
        <v>0</v>
      </c>
      <c r="D62" s="203" t="s">
        <v>41</v>
      </c>
      <c r="E62" s="85" t="s">
        <v>114</v>
      </c>
      <c r="F62" s="86" t="s">
        <v>115</v>
      </c>
      <c r="G62" s="87" t="s">
        <v>116</v>
      </c>
      <c r="H62" s="87"/>
      <c r="I62" s="87"/>
    </row>
    <row r="63" spans="1:9" ht="21" customHeight="1">
      <c r="A63" s="204" t="s">
        <v>117</v>
      </c>
      <c r="B63" s="61">
        <v>10.5</v>
      </c>
      <c r="C63" s="61">
        <f>B63/3.5</f>
        <v>3</v>
      </c>
      <c r="D63" s="203">
        <v>46569</v>
      </c>
      <c r="E63" s="85" t="s">
        <v>114</v>
      </c>
      <c r="F63" s="86" t="s">
        <v>118</v>
      </c>
      <c r="G63" s="87" t="s">
        <v>119</v>
      </c>
      <c r="H63" s="87" t="s">
        <v>120</v>
      </c>
      <c r="I63" s="87"/>
    </row>
    <row r="64" spans="1:9" ht="21" customHeight="1">
      <c r="A64" s="204" t="s">
        <v>121</v>
      </c>
      <c r="B64" s="61">
        <v>0</v>
      </c>
      <c r="C64" s="61">
        <f>B64/3.5</f>
        <v>0</v>
      </c>
      <c r="D64" s="203" t="s">
        <v>41</v>
      </c>
      <c r="E64" s="85" t="s">
        <v>122</v>
      </c>
      <c r="F64" s="86" t="s">
        <v>115</v>
      </c>
      <c r="G64" s="87" t="s">
        <v>116</v>
      </c>
      <c r="H64" s="87"/>
      <c r="I64" s="87"/>
    </row>
    <row r="65" spans="1:9" ht="21" customHeight="1" thickBot="1">
      <c r="A65" s="204" t="s">
        <v>123</v>
      </c>
      <c r="B65" s="61">
        <v>10.5</v>
      </c>
      <c r="C65" s="61">
        <f>B65/3.5</f>
        <v>3</v>
      </c>
      <c r="D65" s="203">
        <v>46569</v>
      </c>
      <c r="E65" s="88" t="s">
        <v>122</v>
      </c>
      <c r="F65" s="86" t="s">
        <v>118</v>
      </c>
      <c r="G65" s="89" t="s">
        <v>124</v>
      </c>
      <c r="H65" s="89" t="s">
        <v>125</v>
      </c>
      <c r="I65" s="89"/>
    </row>
    <row r="66" spans="1:9" ht="21" customHeight="1" thickBot="1">
      <c r="A66" s="90" t="s">
        <v>126</v>
      </c>
      <c r="B66" s="91">
        <f>SUM(B4,B16,B30,B51,B58,B61)</f>
        <v>525</v>
      </c>
      <c r="C66" s="92"/>
      <c r="D66" s="92" t="s">
        <v>12</v>
      </c>
      <c r="E66" s="93" t="s">
        <v>12</v>
      </c>
      <c r="F66" s="94" t="s">
        <v>12</v>
      </c>
      <c r="G66" s="95" t="s">
        <v>12</v>
      </c>
      <c r="H66" s="95"/>
      <c r="I66" s="95" t="s">
        <v>12</v>
      </c>
    </row>
    <row r="67" spans="1:9">
      <c r="A67" s="96" t="s">
        <v>127</v>
      </c>
      <c r="B67" s="96">
        <v>525</v>
      </c>
      <c r="C67" s="96"/>
      <c r="D67" s="96"/>
      <c r="E67" s="219"/>
      <c r="G67" s="96"/>
      <c r="H67" s="219" t="s">
        <v>128</v>
      </c>
      <c r="I67" s="96"/>
    </row>
    <row r="68" spans="1:9">
      <c r="A68" s="96" t="s">
        <v>129</v>
      </c>
      <c r="B68" s="220" t="s">
        <v>128</v>
      </c>
      <c r="C68" s="96"/>
      <c r="D68" s="96"/>
      <c r="E68" s="96"/>
      <c r="F68" s="96"/>
      <c r="G68" s="96"/>
      <c r="H68" s="96"/>
      <c r="I68" s="96"/>
    </row>
    <row r="69" spans="1:9">
      <c r="A69" s="96"/>
      <c r="B69" s="96"/>
      <c r="C69" s="96"/>
      <c r="D69" s="96"/>
      <c r="E69" s="96"/>
      <c r="F69" s="96"/>
      <c r="G69" s="96"/>
      <c r="H69" s="96"/>
      <c r="I69" s="96"/>
    </row>
    <row r="70" spans="1:9" ht="15.6">
      <c r="E70" s="98" t="s">
        <v>12</v>
      </c>
      <c r="F70" s="99"/>
      <c r="G70" s="96"/>
      <c r="H70" s="96"/>
      <c r="I70" s="96"/>
    </row>
    <row r="71" spans="1:9" ht="14.45">
      <c r="E71" s="100" t="s">
        <v>12</v>
      </c>
      <c r="F71" s="99"/>
      <c r="G71" s="96"/>
      <c r="H71" s="96"/>
      <c r="I71" s="96"/>
    </row>
    <row r="72" spans="1:9" ht="14.45">
      <c r="E72" s="96"/>
      <c r="F72" s="99"/>
      <c r="G72" s="96"/>
      <c r="H72" s="96"/>
      <c r="I72" s="96"/>
    </row>
    <row r="73" spans="1:9" ht="14.45">
      <c r="E73" s="101" t="s">
        <v>12</v>
      </c>
      <c r="F73" s="99"/>
      <c r="G73" s="96"/>
      <c r="H73" s="96"/>
      <c r="I73" s="96"/>
    </row>
    <row r="74" spans="1:9" ht="14.45">
      <c r="E74" s="102"/>
      <c r="F74" s="99"/>
      <c r="G74" s="96"/>
      <c r="H74" s="96"/>
      <c r="I74" s="96"/>
    </row>
    <row r="75" spans="1:9" ht="14.45">
      <c r="E75" s="100" t="s">
        <v>12</v>
      </c>
      <c r="F75" s="99"/>
      <c r="G75" s="96"/>
      <c r="H75" s="96"/>
      <c r="I75" s="96"/>
    </row>
    <row r="76" spans="1:9" ht="14.45">
      <c r="E76" s="102"/>
      <c r="F76" s="99"/>
      <c r="G76" s="96"/>
      <c r="H76" s="96"/>
      <c r="I76" s="96"/>
    </row>
    <row r="77" spans="1:9">
      <c r="E77" s="96"/>
      <c r="F77" s="96"/>
      <c r="G77" s="96"/>
      <c r="H77" s="96"/>
      <c r="I77" s="96"/>
    </row>
    <row r="78" spans="1:9">
      <c r="E78" s="96"/>
      <c r="F78" s="96"/>
      <c r="G78" s="96"/>
      <c r="H78" s="96"/>
      <c r="I78" s="96"/>
    </row>
    <row r="79" spans="1:9">
      <c r="E79" s="96"/>
      <c r="F79" s="96"/>
      <c r="G79" s="96"/>
      <c r="H79" s="96"/>
      <c r="I79" s="96"/>
    </row>
    <row r="80" spans="1:9">
      <c r="E80" s="96"/>
      <c r="F80" s="96"/>
      <c r="G80" s="96"/>
      <c r="H80" s="96"/>
      <c r="I80" s="96"/>
    </row>
  </sheetData>
  <mergeCells count="29">
    <mergeCell ref="G9:G12"/>
    <mergeCell ref="A13:E13"/>
    <mergeCell ref="G13:G15"/>
    <mergeCell ref="A41:E41"/>
    <mergeCell ref="F41:F50"/>
    <mergeCell ref="G41:G50"/>
    <mergeCell ref="A32:E32"/>
    <mergeCell ref="F32:F39"/>
    <mergeCell ref="G32:G38"/>
    <mergeCell ref="A9:E9"/>
    <mergeCell ref="F9:F15"/>
    <mergeCell ref="A17:E17"/>
    <mergeCell ref="F17:F28"/>
    <mergeCell ref="G17:G20"/>
    <mergeCell ref="A21:E21"/>
    <mergeCell ref="G21:G28"/>
    <mergeCell ref="A1:I1"/>
    <mergeCell ref="A2:I2"/>
    <mergeCell ref="A5:E5"/>
    <mergeCell ref="F5:F8"/>
    <mergeCell ref="G5:G8"/>
    <mergeCell ref="H5:H8"/>
    <mergeCell ref="I41:I50"/>
    <mergeCell ref="I5:I15"/>
    <mergeCell ref="H17:H28"/>
    <mergeCell ref="I17:I28"/>
    <mergeCell ref="H32:H39"/>
    <mergeCell ref="I32:I39"/>
    <mergeCell ref="H9:H15"/>
  </mergeCells>
  <printOptions horizontalCentered="1"/>
  <pageMargins left="0.23622047244094491" right="0.23622047244094491" top="0.74803149606299213" bottom="0.74803149606299213" header="0.31496062992125984" footer="0.31496062992125984"/>
  <pageSetup paperSize="8"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965D-042D-4FD0-BCBC-516A1CBB4989}">
  <sheetPr>
    <tabColor rgb="FFC00000"/>
    <pageSetUpPr fitToPage="1"/>
  </sheetPr>
  <dimension ref="A1:I86"/>
  <sheetViews>
    <sheetView tabSelected="1" topLeftCell="A62" zoomScaleNormal="100" workbookViewId="0">
      <selection activeCell="D75" sqref="D75"/>
    </sheetView>
  </sheetViews>
  <sheetFormatPr defaultColWidth="11.42578125" defaultRowHeight="13.9"/>
  <cols>
    <col min="1" max="1" width="87.28515625" style="1" customWidth="1"/>
    <col min="2" max="2" width="10.7109375" style="97" customWidth="1"/>
    <col min="3" max="3" width="9.7109375" style="97" customWidth="1"/>
    <col min="4" max="4" width="10.7109375" style="97" bestFit="1" customWidth="1"/>
    <col min="5" max="5" width="12.140625" style="1" bestFit="1" customWidth="1"/>
    <col min="6" max="6" width="19.42578125" style="1" bestFit="1" customWidth="1"/>
    <col min="7" max="7" width="7.7109375" style="1" hidden="1" customWidth="1"/>
    <col min="8" max="8" width="47.140625" style="1" customWidth="1"/>
    <col min="9" max="9" width="35.42578125" style="1" customWidth="1"/>
    <col min="10" max="16384" width="11.42578125" style="1"/>
  </cols>
  <sheetData>
    <row r="1" spans="1:9" ht="42" customHeight="1" thickBot="1">
      <c r="A1" s="300" t="s">
        <v>130</v>
      </c>
      <c r="B1" s="301"/>
      <c r="C1" s="301"/>
      <c r="D1" s="301"/>
      <c r="E1" s="301"/>
      <c r="F1" s="301"/>
      <c r="G1" s="301"/>
      <c r="H1" s="301"/>
      <c r="I1" s="302"/>
    </row>
    <row r="2" spans="1:9" ht="18.600000000000001" thickBot="1">
      <c r="A2" s="300" t="s">
        <v>1</v>
      </c>
      <c r="B2" s="301"/>
      <c r="C2" s="301"/>
      <c r="D2" s="301"/>
      <c r="E2" s="301"/>
      <c r="F2" s="301"/>
      <c r="G2" s="301"/>
      <c r="H2" s="301"/>
      <c r="I2" s="302"/>
    </row>
    <row r="3" spans="1:9" ht="42" thickBot="1">
      <c r="A3" s="103" t="s">
        <v>2</v>
      </c>
      <c r="B3" s="104" t="s">
        <v>3</v>
      </c>
      <c r="C3" s="104" t="s">
        <v>4</v>
      </c>
      <c r="D3" s="105" t="s">
        <v>5</v>
      </c>
      <c r="E3" s="106" t="s">
        <v>6</v>
      </c>
      <c r="F3" s="107" t="s">
        <v>7</v>
      </c>
      <c r="G3" s="108" t="s">
        <v>8</v>
      </c>
      <c r="H3" s="7" t="s">
        <v>9</v>
      </c>
      <c r="I3" s="7" t="s">
        <v>10</v>
      </c>
    </row>
    <row r="4" spans="1:9" ht="21" customHeight="1" thickBot="1">
      <c r="A4" s="25" t="s">
        <v>131</v>
      </c>
      <c r="B4" s="26">
        <f>SUM(B6:B23)</f>
        <v>231</v>
      </c>
      <c r="C4" s="26"/>
      <c r="D4" s="27"/>
      <c r="E4" s="28" t="s">
        <v>12</v>
      </c>
      <c r="F4" s="109" t="s">
        <v>12</v>
      </c>
      <c r="G4" s="26" t="s">
        <v>12</v>
      </c>
      <c r="H4" s="109" t="s">
        <v>68</v>
      </c>
      <c r="I4" s="109" t="s">
        <v>68</v>
      </c>
    </row>
    <row r="5" spans="1:9" ht="21" customHeight="1" thickBot="1">
      <c r="A5" s="303" t="s">
        <v>132</v>
      </c>
      <c r="B5" s="304"/>
      <c r="C5" s="305"/>
      <c r="D5" s="305"/>
      <c r="E5" s="306"/>
      <c r="F5" s="272" t="s">
        <v>133</v>
      </c>
      <c r="G5" s="307" t="s">
        <v>134</v>
      </c>
      <c r="H5" s="315" t="s">
        <v>135</v>
      </c>
      <c r="I5" s="265" t="s">
        <v>136</v>
      </c>
    </row>
    <row r="6" spans="1:9" ht="21" customHeight="1">
      <c r="A6" s="110" t="s">
        <v>137</v>
      </c>
      <c r="B6" s="111">
        <v>14</v>
      </c>
      <c r="C6" s="111">
        <f t="shared" ref="C6:C13" si="0">B6/3.5</f>
        <v>4</v>
      </c>
      <c r="D6" s="112"/>
      <c r="E6" s="113" t="s">
        <v>138</v>
      </c>
      <c r="F6" s="273"/>
      <c r="G6" s="307"/>
      <c r="H6" s="266"/>
      <c r="I6" s="266"/>
    </row>
    <row r="7" spans="1:9" ht="21" customHeight="1">
      <c r="A7" s="15" t="s">
        <v>139</v>
      </c>
      <c r="B7" s="33">
        <v>10.5</v>
      </c>
      <c r="C7" s="33">
        <f t="shared" si="0"/>
        <v>3</v>
      </c>
      <c r="D7" s="114"/>
      <c r="E7" s="35" t="s">
        <v>138</v>
      </c>
      <c r="F7" s="273"/>
      <c r="G7" s="307"/>
      <c r="H7" s="266"/>
      <c r="I7" s="266"/>
    </row>
    <row r="8" spans="1:9" ht="21" customHeight="1">
      <c r="A8" s="177" t="s">
        <v>140</v>
      </c>
      <c r="B8" s="179">
        <v>7</v>
      </c>
      <c r="C8" s="179">
        <f t="shared" si="0"/>
        <v>2</v>
      </c>
      <c r="D8" s="180"/>
      <c r="E8" s="181" t="s">
        <v>138</v>
      </c>
      <c r="F8" s="273"/>
      <c r="G8" s="307"/>
      <c r="H8" s="266"/>
      <c r="I8" s="266"/>
    </row>
    <row r="9" spans="1:9" ht="21" customHeight="1">
      <c r="A9" s="15" t="s">
        <v>141</v>
      </c>
      <c r="B9" s="31">
        <v>14</v>
      </c>
      <c r="C9" s="31">
        <f t="shared" si="0"/>
        <v>4</v>
      </c>
      <c r="D9" s="59"/>
      <c r="E9" s="32" t="s">
        <v>142</v>
      </c>
      <c r="F9" s="273"/>
      <c r="G9" s="307"/>
      <c r="H9" s="266"/>
      <c r="I9" s="266"/>
    </row>
    <row r="10" spans="1:9" ht="21" customHeight="1" thickBot="1">
      <c r="A10" s="15" t="s">
        <v>143</v>
      </c>
      <c r="B10" s="31">
        <v>10.5</v>
      </c>
      <c r="C10" s="31">
        <f t="shared" si="0"/>
        <v>3</v>
      </c>
      <c r="D10" s="59"/>
      <c r="E10" s="32" t="s">
        <v>138</v>
      </c>
      <c r="F10" s="273"/>
      <c r="G10" s="308"/>
      <c r="H10" s="266"/>
      <c r="I10" s="266"/>
    </row>
    <row r="11" spans="1:9" ht="21" customHeight="1">
      <c r="A11" s="18" t="s">
        <v>144</v>
      </c>
      <c r="B11" s="115">
        <v>10.5</v>
      </c>
      <c r="C11" s="115">
        <f t="shared" si="0"/>
        <v>3</v>
      </c>
      <c r="D11" s="115"/>
      <c r="E11" s="116" t="s">
        <v>138</v>
      </c>
      <c r="F11" s="273"/>
      <c r="G11" s="275" t="s">
        <v>145</v>
      </c>
      <c r="H11" s="266"/>
      <c r="I11" s="266"/>
    </row>
    <row r="12" spans="1:9" ht="21" customHeight="1">
      <c r="A12" s="18" t="s">
        <v>146</v>
      </c>
      <c r="B12" s="19">
        <v>17.5</v>
      </c>
      <c r="C12" s="19">
        <f t="shared" si="0"/>
        <v>5</v>
      </c>
      <c r="D12" s="19"/>
      <c r="E12" s="117" t="s">
        <v>147</v>
      </c>
      <c r="F12" s="273"/>
      <c r="G12" s="276"/>
      <c r="H12" s="266"/>
      <c r="I12" s="266"/>
    </row>
    <row r="13" spans="1:9" ht="21" customHeight="1" thickBot="1">
      <c r="A13" s="40" t="s">
        <v>148</v>
      </c>
      <c r="B13" s="118">
        <v>17.5</v>
      </c>
      <c r="C13" s="118">
        <f t="shared" si="0"/>
        <v>5</v>
      </c>
      <c r="D13" s="119"/>
      <c r="E13" s="120" t="s">
        <v>147</v>
      </c>
      <c r="F13" s="273"/>
      <c r="G13" s="276"/>
      <c r="H13" s="266"/>
      <c r="I13" s="266"/>
    </row>
    <row r="14" spans="1:9" ht="21" customHeight="1" thickBot="1">
      <c r="A14" s="309" t="s">
        <v>149</v>
      </c>
      <c r="B14" s="310"/>
      <c r="C14" s="311"/>
      <c r="D14" s="311"/>
      <c r="E14" s="312"/>
      <c r="F14" s="273"/>
      <c r="G14" s="276"/>
      <c r="H14" s="266"/>
      <c r="I14" s="266"/>
    </row>
    <row r="15" spans="1:9" ht="21" customHeight="1">
      <c r="A15" s="121" t="s">
        <v>150</v>
      </c>
      <c r="B15" s="111">
        <v>14</v>
      </c>
      <c r="C15" s="111">
        <f>B15/3.5</f>
        <v>4</v>
      </c>
      <c r="D15" s="111"/>
      <c r="E15" s="113" t="s">
        <v>151</v>
      </c>
      <c r="F15" s="273"/>
      <c r="G15" s="276"/>
      <c r="H15" s="266"/>
      <c r="I15" s="266"/>
    </row>
    <row r="16" spans="1:9" ht="21" customHeight="1" thickBot="1">
      <c r="A16" s="18" t="s">
        <v>152</v>
      </c>
      <c r="B16" s="19">
        <v>14</v>
      </c>
      <c r="C16" s="19">
        <f>B16/3.5</f>
        <v>4</v>
      </c>
      <c r="D16" s="19"/>
      <c r="E16" s="117" t="s">
        <v>153</v>
      </c>
      <c r="F16" s="273"/>
      <c r="G16" s="276"/>
      <c r="H16" s="266"/>
      <c r="I16" s="266"/>
    </row>
    <row r="17" spans="1:9" ht="21" customHeight="1">
      <c r="A17" s="18" t="s">
        <v>154</v>
      </c>
      <c r="B17" s="19">
        <v>10.5</v>
      </c>
      <c r="C17" s="19">
        <f>B17/3.5</f>
        <v>3</v>
      </c>
      <c r="D17" s="19"/>
      <c r="E17" s="117" t="s">
        <v>155</v>
      </c>
      <c r="F17" s="273"/>
      <c r="G17" s="313" t="s">
        <v>156</v>
      </c>
      <c r="H17" s="266"/>
      <c r="I17" s="266"/>
    </row>
    <row r="18" spans="1:9" ht="21" customHeight="1">
      <c r="A18" s="53" t="s">
        <v>157</v>
      </c>
      <c r="B18" s="19">
        <v>10.5</v>
      </c>
      <c r="C18" s="19">
        <f>B18/3.5</f>
        <v>3</v>
      </c>
      <c r="D18" s="19"/>
      <c r="E18" s="117" t="s">
        <v>158</v>
      </c>
      <c r="F18" s="273"/>
      <c r="G18" s="314"/>
      <c r="H18" s="266"/>
      <c r="I18" s="266"/>
    </row>
    <row r="19" spans="1:9" ht="21" customHeight="1" thickBot="1">
      <c r="A19" s="123" t="s">
        <v>159</v>
      </c>
      <c r="B19" s="124">
        <v>10.5</v>
      </c>
      <c r="C19" s="124">
        <f>B19/3.5</f>
        <v>3</v>
      </c>
      <c r="D19" s="124"/>
      <c r="E19" s="125" t="s">
        <v>160</v>
      </c>
      <c r="F19" s="273"/>
      <c r="G19" s="314"/>
      <c r="H19" s="266"/>
      <c r="I19" s="266"/>
    </row>
    <row r="20" spans="1:9" ht="27" customHeight="1" thickBot="1">
      <c r="A20" s="279" t="s">
        <v>161</v>
      </c>
      <c r="B20" s="280"/>
      <c r="C20" s="293"/>
      <c r="D20" s="293"/>
      <c r="E20" s="281"/>
      <c r="F20" s="273"/>
      <c r="G20" s="314"/>
      <c r="H20" s="266"/>
      <c r="I20" s="266"/>
    </row>
    <row r="21" spans="1:9" ht="21" customHeight="1">
      <c r="A21" s="110" t="s">
        <v>162</v>
      </c>
      <c r="B21" s="126">
        <v>10.5</v>
      </c>
      <c r="C21" s="111">
        <f>B21/3.5</f>
        <v>3</v>
      </c>
      <c r="D21" s="127"/>
      <c r="E21" s="113" t="s">
        <v>163</v>
      </c>
      <c r="F21" s="273"/>
      <c r="G21" s="122"/>
      <c r="H21" s="266"/>
      <c r="I21" s="266"/>
    </row>
    <row r="22" spans="1:9" ht="21" customHeight="1" thickBot="1">
      <c r="A22" s="128" t="s">
        <v>164</v>
      </c>
      <c r="B22" s="129">
        <v>24.5</v>
      </c>
      <c r="C22" s="129">
        <f>B22/3.5</f>
        <v>7</v>
      </c>
      <c r="D22" s="130"/>
      <c r="E22" s="131" t="s">
        <v>165</v>
      </c>
      <c r="F22" s="273"/>
      <c r="G22" s="122"/>
      <c r="H22" s="266"/>
      <c r="I22" s="278"/>
    </row>
    <row r="23" spans="1:9" ht="21" customHeight="1" thickBot="1">
      <c r="A23" s="229" t="s">
        <v>166</v>
      </c>
      <c r="B23" s="19">
        <v>35</v>
      </c>
      <c r="C23" s="19">
        <f>B23/3.5</f>
        <v>10</v>
      </c>
      <c r="D23" s="19"/>
      <c r="E23" s="19"/>
      <c r="F23" s="235" t="s">
        <v>167</v>
      </c>
      <c r="G23" s="234"/>
      <c r="H23" s="235" t="s">
        <v>168</v>
      </c>
      <c r="I23" s="232"/>
    </row>
    <row r="24" spans="1:9" ht="21" customHeight="1" thickBot="1">
      <c r="A24" s="224" t="s">
        <v>66</v>
      </c>
      <c r="B24" s="225">
        <f>(B25+B49)/2</f>
        <v>168</v>
      </c>
      <c r="C24" s="225"/>
      <c r="D24" s="226"/>
      <c r="E24" s="227" t="s">
        <v>12</v>
      </c>
      <c r="F24" s="228" t="s">
        <v>12</v>
      </c>
      <c r="G24" s="233"/>
      <c r="H24" s="233"/>
      <c r="I24" s="43"/>
    </row>
    <row r="25" spans="1:9" ht="28.15" thickBot="1">
      <c r="A25" s="44" t="s">
        <v>169</v>
      </c>
      <c r="B25" s="45">
        <f>SUM(B27:B31,B32,B38,B44)</f>
        <v>168</v>
      </c>
      <c r="C25" s="45"/>
      <c r="D25" s="46"/>
      <c r="E25" s="47" t="s">
        <v>12</v>
      </c>
      <c r="F25" s="48" t="s">
        <v>12</v>
      </c>
      <c r="G25" s="49" t="s">
        <v>12</v>
      </c>
      <c r="H25" s="109" t="s">
        <v>68</v>
      </c>
      <c r="I25" s="109" t="s">
        <v>68</v>
      </c>
    </row>
    <row r="26" spans="1:9" ht="21" customHeight="1" thickBot="1">
      <c r="A26" s="279" t="s">
        <v>69</v>
      </c>
      <c r="B26" s="280"/>
      <c r="C26" s="293"/>
      <c r="D26" s="293"/>
      <c r="E26" s="281"/>
      <c r="F26" s="294" t="s">
        <v>70</v>
      </c>
      <c r="G26" s="285" t="s">
        <v>71</v>
      </c>
      <c r="H26" s="290" t="s">
        <v>170</v>
      </c>
      <c r="I26" s="290" t="s">
        <v>171</v>
      </c>
    </row>
    <row r="27" spans="1:9" ht="21" customHeight="1">
      <c r="A27" s="132" t="s">
        <v>172</v>
      </c>
      <c r="B27" s="111">
        <v>10.5</v>
      </c>
      <c r="C27" s="111">
        <f>B27/3.5</f>
        <v>3</v>
      </c>
      <c r="D27" s="112"/>
      <c r="E27" s="113" t="s">
        <v>173</v>
      </c>
      <c r="F27" s="295"/>
      <c r="G27" s="286"/>
      <c r="H27" s="291"/>
      <c r="I27" s="291"/>
    </row>
    <row r="28" spans="1:9" ht="21" customHeight="1">
      <c r="A28" s="178" t="s">
        <v>174</v>
      </c>
      <c r="B28" s="170">
        <v>10.5</v>
      </c>
      <c r="C28" s="19">
        <f>B28/3.5</f>
        <v>3</v>
      </c>
      <c r="D28" s="176"/>
      <c r="E28" s="182" t="s">
        <v>173</v>
      </c>
      <c r="F28" s="295"/>
      <c r="G28" s="286"/>
      <c r="H28" s="291"/>
      <c r="I28" s="291"/>
    </row>
    <row r="29" spans="1:9" ht="21" customHeight="1">
      <c r="A29" s="178" t="s">
        <v>175</v>
      </c>
      <c r="B29" s="170">
        <v>14</v>
      </c>
      <c r="C29" s="19">
        <f>B29/3.5</f>
        <v>4</v>
      </c>
      <c r="D29" s="176"/>
      <c r="E29" s="182" t="s">
        <v>176</v>
      </c>
      <c r="F29" s="295"/>
      <c r="G29" s="286"/>
      <c r="H29" s="291"/>
      <c r="I29" s="291"/>
    </row>
    <row r="30" spans="1:9" ht="21" customHeight="1">
      <c r="A30" s="52" t="s">
        <v>177</v>
      </c>
      <c r="B30" s="19">
        <v>7</v>
      </c>
      <c r="C30" s="19">
        <f>B30/3.5</f>
        <v>2</v>
      </c>
      <c r="D30" s="20"/>
      <c r="E30" s="117" t="s">
        <v>75</v>
      </c>
      <c r="F30" s="295"/>
      <c r="G30" s="286"/>
      <c r="H30" s="291"/>
      <c r="I30" s="291"/>
    </row>
    <row r="31" spans="1:9" ht="21" customHeight="1" thickBot="1">
      <c r="A31" s="241" t="s">
        <v>178</v>
      </c>
      <c r="B31" s="134">
        <v>21</v>
      </c>
      <c r="C31" s="16">
        <f>B31/3.5</f>
        <v>6</v>
      </c>
      <c r="D31" s="135"/>
      <c r="E31" s="136" t="s">
        <v>173</v>
      </c>
      <c r="F31" s="295"/>
      <c r="G31" s="286"/>
      <c r="H31" s="291"/>
      <c r="I31" s="291"/>
    </row>
    <row r="32" spans="1:9" ht="21" customHeight="1" thickBot="1">
      <c r="A32" s="137" t="s">
        <v>179</v>
      </c>
      <c r="B32" s="138">
        <f>SUM(B33:B37)</f>
        <v>35</v>
      </c>
      <c r="C32" s="139"/>
      <c r="D32" s="139"/>
      <c r="E32" s="140"/>
      <c r="F32" s="295"/>
      <c r="G32" s="286"/>
      <c r="H32" s="291"/>
      <c r="I32" s="291"/>
    </row>
    <row r="33" spans="1:9" ht="21" customHeight="1">
      <c r="A33" s="209" t="s">
        <v>180</v>
      </c>
      <c r="B33" s="141">
        <v>3.5</v>
      </c>
      <c r="C33" s="50">
        <f>B33/3.5</f>
        <v>1</v>
      </c>
      <c r="D33" s="142"/>
      <c r="E33" s="143" t="s">
        <v>75</v>
      </c>
      <c r="F33" s="295"/>
      <c r="G33" s="286"/>
      <c r="H33" s="291"/>
      <c r="I33" s="291"/>
    </row>
    <row r="34" spans="1:9" ht="21" customHeight="1">
      <c r="A34" s="210" t="s">
        <v>181</v>
      </c>
      <c r="B34" s="50">
        <v>3.5</v>
      </c>
      <c r="C34" s="50">
        <f>B34/3.5</f>
        <v>1</v>
      </c>
      <c r="D34" s="51"/>
      <c r="E34" s="133" t="s">
        <v>75</v>
      </c>
      <c r="F34" s="295"/>
      <c r="G34" s="286"/>
      <c r="H34" s="291"/>
      <c r="I34" s="291"/>
    </row>
    <row r="35" spans="1:9" ht="21" customHeight="1">
      <c r="A35" s="210" t="s">
        <v>182</v>
      </c>
      <c r="B35" s="50">
        <v>3.5</v>
      </c>
      <c r="C35" s="50">
        <f>B35/3.5</f>
        <v>1</v>
      </c>
      <c r="D35" s="51"/>
      <c r="E35" s="133" t="s">
        <v>77</v>
      </c>
      <c r="F35" s="295"/>
      <c r="G35" s="286"/>
      <c r="H35" s="291"/>
      <c r="I35" s="291"/>
    </row>
    <row r="36" spans="1:9" ht="21" customHeight="1">
      <c r="A36" s="210" t="s">
        <v>183</v>
      </c>
      <c r="B36" s="50">
        <v>7</v>
      </c>
      <c r="C36" s="50">
        <f>B36/3.5</f>
        <v>2</v>
      </c>
      <c r="D36" s="51"/>
      <c r="E36" s="133" t="s">
        <v>77</v>
      </c>
      <c r="F36" s="295"/>
      <c r="G36" s="286"/>
      <c r="H36" s="291"/>
      <c r="I36" s="291"/>
    </row>
    <row r="37" spans="1:9" ht="21" customHeight="1" thickBot="1">
      <c r="A37" s="211" t="s">
        <v>184</v>
      </c>
      <c r="B37" s="23">
        <v>17.5</v>
      </c>
      <c r="C37" s="50">
        <f>B37/3.5</f>
        <v>5</v>
      </c>
      <c r="D37" s="24"/>
      <c r="E37" s="144" t="s">
        <v>173</v>
      </c>
      <c r="F37" s="295"/>
      <c r="G37" s="286"/>
      <c r="H37" s="291"/>
      <c r="I37" s="291"/>
    </row>
    <row r="38" spans="1:9" ht="21" customHeight="1" thickBot="1">
      <c r="A38" s="137" t="s">
        <v>185</v>
      </c>
      <c r="B38" s="138">
        <f>SUM(B39:B43)</f>
        <v>35</v>
      </c>
      <c r="C38" s="139"/>
      <c r="D38" s="139"/>
      <c r="E38" s="140"/>
      <c r="F38" s="295"/>
      <c r="G38" s="286"/>
      <c r="H38" s="291"/>
      <c r="I38" s="291"/>
    </row>
    <row r="39" spans="1:9" ht="21" customHeight="1">
      <c r="A39" s="209" t="s">
        <v>186</v>
      </c>
      <c r="B39" s="141">
        <v>7</v>
      </c>
      <c r="C39" s="50">
        <f>B39/3.5</f>
        <v>2</v>
      </c>
      <c r="D39" s="142"/>
      <c r="E39" s="143" t="s">
        <v>75</v>
      </c>
      <c r="F39" s="295"/>
      <c r="G39" s="286"/>
      <c r="H39" s="291"/>
      <c r="I39" s="291"/>
    </row>
    <row r="40" spans="1:9" ht="21" customHeight="1">
      <c r="A40" s="210" t="s">
        <v>187</v>
      </c>
      <c r="B40" s="50">
        <v>3.5</v>
      </c>
      <c r="C40" s="50">
        <f>B40/3.5</f>
        <v>1</v>
      </c>
      <c r="D40" s="51"/>
      <c r="E40" s="133" t="s">
        <v>75</v>
      </c>
      <c r="F40" s="295"/>
      <c r="G40" s="286"/>
      <c r="H40" s="291"/>
      <c r="I40" s="291"/>
    </row>
    <row r="41" spans="1:9" ht="21" customHeight="1">
      <c r="A41" s="210" t="s">
        <v>188</v>
      </c>
      <c r="B41" s="50">
        <v>3.5</v>
      </c>
      <c r="C41" s="50">
        <f>B41/3.5</f>
        <v>1</v>
      </c>
      <c r="D41" s="51"/>
      <c r="E41" s="133" t="s">
        <v>77</v>
      </c>
      <c r="F41" s="295"/>
      <c r="G41" s="286"/>
      <c r="H41" s="291"/>
      <c r="I41" s="291"/>
    </row>
    <row r="42" spans="1:9" ht="21" customHeight="1">
      <c r="A42" s="210" t="s">
        <v>189</v>
      </c>
      <c r="B42" s="50">
        <v>3.5</v>
      </c>
      <c r="C42" s="50">
        <f>B42/3.5</f>
        <v>1</v>
      </c>
      <c r="D42" s="51"/>
      <c r="E42" s="133" t="s">
        <v>77</v>
      </c>
      <c r="F42" s="295"/>
      <c r="G42" s="286"/>
      <c r="H42" s="291"/>
      <c r="I42" s="291"/>
    </row>
    <row r="43" spans="1:9" ht="21" customHeight="1" thickBot="1">
      <c r="A43" s="211" t="s">
        <v>190</v>
      </c>
      <c r="B43" s="23">
        <v>17.5</v>
      </c>
      <c r="C43" s="50">
        <f>B43/3.5</f>
        <v>5</v>
      </c>
      <c r="D43" s="24"/>
      <c r="E43" s="144" t="s">
        <v>173</v>
      </c>
      <c r="F43" s="295"/>
      <c r="G43" s="286"/>
      <c r="H43" s="291"/>
      <c r="I43" s="291"/>
    </row>
    <row r="44" spans="1:9" ht="21" customHeight="1" thickBot="1">
      <c r="A44" s="137" t="s">
        <v>191</v>
      </c>
      <c r="B44" s="138">
        <f>SUM(B45:B48)</f>
        <v>35</v>
      </c>
      <c r="C44" s="139"/>
      <c r="D44" s="139"/>
      <c r="E44" s="140"/>
      <c r="F44" s="295"/>
      <c r="G44" s="286"/>
      <c r="H44" s="291"/>
      <c r="I44" s="291"/>
    </row>
    <row r="45" spans="1:9" ht="21" customHeight="1">
      <c r="A45" s="212" t="s">
        <v>192</v>
      </c>
      <c r="B45" s="141">
        <v>7</v>
      </c>
      <c r="C45" s="50">
        <f>B45/3.5</f>
        <v>2</v>
      </c>
      <c r="D45" s="142"/>
      <c r="E45" s="143" t="s">
        <v>75</v>
      </c>
      <c r="F45" s="295"/>
      <c r="G45" s="286"/>
      <c r="H45" s="291"/>
      <c r="I45" s="291"/>
    </row>
    <row r="46" spans="1:9" ht="21" customHeight="1">
      <c r="A46" s="213" t="s">
        <v>193</v>
      </c>
      <c r="B46" s="50">
        <v>7</v>
      </c>
      <c r="C46" s="50">
        <f>B46/3.5</f>
        <v>2</v>
      </c>
      <c r="D46" s="51"/>
      <c r="E46" s="133" t="s">
        <v>75</v>
      </c>
      <c r="F46" s="295"/>
      <c r="G46" s="286"/>
      <c r="H46" s="291"/>
      <c r="I46" s="291"/>
    </row>
    <row r="47" spans="1:9" ht="21" customHeight="1">
      <c r="A47" s="213" t="s">
        <v>194</v>
      </c>
      <c r="B47" s="50">
        <v>3.5</v>
      </c>
      <c r="C47" s="50">
        <f>B47/3.5</f>
        <v>1</v>
      </c>
      <c r="D47" s="51"/>
      <c r="E47" s="133" t="s">
        <v>77</v>
      </c>
      <c r="F47" s="295"/>
      <c r="G47" s="286"/>
      <c r="H47" s="291"/>
      <c r="I47" s="291"/>
    </row>
    <row r="48" spans="1:9" ht="21" customHeight="1" thickBot="1">
      <c r="A48" s="214" t="s">
        <v>195</v>
      </c>
      <c r="B48" s="165">
        <v>17.5</v>
      </c>
      <c r="C48" s="50">
        <f>B48/3.5</f>
        <v>5</v>
      </c>
      <c r="D48" s="191"/>
      <c r="E48" s="189" t="s">
        <v>173</v>
      </c>
      <c r="F48" s="296"/>
      <c r="G48" s="297"/>
      <c r="H48" s="291"/>
      <c r="I48" s="291"/>
    </row>
    <row r="49" spans="1:9" ht="21" customHeight="1" thickBot="1">
      <c r="A49" s="55" t="s">
        <v>82</v>
      </c>
      <c r="B49" s="45">
        <f>SUM(B51:B54,B55,B61,B66)</f>
        <v>168</v>
      </c>
      <c r="C49" s="145"/>
      <c r="D49" s="46"/>
      <c r="E49" s="47" t="s">
        <v>12</v>
      </c>
      <c r="F49" s="48" t="s">
        <v>12</v>
      </c>
      <c r="G49" s="49" t="s">
        <v>12</v>
      </c>
      <c r="H49" s="109" t="s">
        <v>68</v>
      </c>
      <c r="I49" s="109" t="s">
        <v>68</v>
      </c>
    </row>
    <row r="50" spans="1:9" ht="21" customHeight="1" thickBot="1">
      <c r="A50" s="279" t="s">
        <v>83</v>
      </c>
      <c r="B50" s="280"/>
      <c r="C50" s="293"/>
      <c r="D50" s="293"/>
      <c r="E50" s="281"/>
      <c r="F50" s="262" t="s">
        <v>84</v>
      </c>
      <c r="G50" s="298" t="s">
        <v>85</v>
      </c>
      <c r="H50" s="290" t="s">
        <v>196</v>
      </c>
      <c r="I50" s="290" t="s">
        <v>197</v>
      </c>
    </row>
    <row r="51" spans="1:9" ht="21" customHeight="1">
      <c r="A51" s="110" t="s">
        <v>198</v>
      </c>
      <c r="B51" s="126">
        <v>14</v>
      </c>
      <c r="C51" s="111">
        <f>B51/3.5</f>
        <v>4</v>
      </c>
      <c r="D51" s="126"/>
      <c r="E51" s="113" t="s">
        <v>77</v>
      </c>
      <c r="F51" s="263"/>
      <c r="G51" s="299"/>
      <c r="H51" s="291"/>
      <c r="I51" s="291"/>
    </row>
    <row r="52" spans="1:9" ht="21" customHeight="1">
      <c r="A52" s="177" t="s">
        <v>199</v>
      </c>
      <c r="B52" s="179">
        <v>14</v>
      </c>
      <c r="C52" s="19">
        <f>B52/3.5</f>
        <v>4</v>
      </c>
      <c r="D52" s="179"/>
      <c r="E52" s="181" t="s">
        <v>75</v>
      </c>
      <c r="F52" s="263"/>
      <c r="G52" s="299"/>
      <c r="H52" s="291"/>
      <c r="I52" s="291"/>
    </row>
    <row r="53" spans="1:9" ht="21" customHeight="1">
      <c r="A53" s="146" t="s">
        <v>200</v>
      </c>
      <c r="B53" s="31">
        <v>14</v>
      </c>
      <c r="C53" s="16">
        <f>B53/3.5</f>
        <v>4</v>
      </c>
      <c r="D53" s="31"/>
      <c r="E53" s="32" t="s">
        <v>87</v>
      </c>
      <c r="F53" s="263"/>
      <c r="G53" s="299"/>
      <c r="H53" s="291"/>
      <c r="I53" s="291"/>
    </row>
    <row r="54" spans="1:9" ht="21" customHeight="1" thickBot="1">
      <c r="A54" s="240" t="s">
        <v>201</v>
      </c>
      <c r="B54" s="41">
        <v>21</v>
      </c>
      <c r="C54" s="16">
        <f>B54/3.5</f>
        <v>6</v>
      </c>
      <c r="D54" s="41"/>
      <c r="E54" s="42" t="s">
        <v>173</v>
      </c>
      <c r="F54" s="263"/>
      <c r="G54" s="299"/>
      <c r="H54" s="291"/>
      <c r="I54" s="291"/>
    </row>
    <row r="55" spans="1:9" ht="21" customHeight="1" thickBot="1">
      <c r="A55" s="137" t="s">
        <v>179</v>
      </c>
      <c r="B55" s="138">
        <f>SUM(B56:B60)</f>
        <v>35</v>
      </c>
      <c r="C55" s="138"/>
      <c r="D55" s="138"/>
      <c r="E55" s="140"/>
      <c r="F55" s="263"/>
      <c r="G55" s="299"/>
      <c r="H55" s="291"/>
      <c r="I55" s="291"/>
    </row>
    <row r="56" spans="1:9" ht="21" customHeight="1">
      <c r="A56" s="212" t="s">
        <v>202</v>
      </c>
      <c r="B56" s="150">
        <v>3.5</v>
      </c>
      <c r="C56" s="61">
        <f>B56/3.5</f>
        <v>1</v>
      </c>
      <c r="D56" s="150"/>
      <c r="E56" s="143" t="s">
        <v>75</v>
      </c>
      <c r="F56" s="263"/>
      <c r="G56" s="299"/>
      <c r="H56" s="291"/>
      <c r="I56" s="291"/>
    </row>
    <row r="57" spans="1:9" ht="21" customHeight="1">
      <c r="A57" s="215" t="s">
        <v>203</v>
      </c>
      <c r="B57" s="61">
        <v>3.5</v>
      </c>
      <c r="C57" s="61">
        <f>B57/3.5</f>
        <v>1</v>
      </c>
      <c r="D57" s="61"/>
      <c r="E57" s="62" t="s">
        <v>77</v>
      </c>
      <c r="F57" s="263"/>
      <c r="G57" s="299"/>
      <c r="H57" s="291"/>
      <c r="I57" s="291"/>
    </row>
    <row r="58" spans="1:9" ht="21" customHeight="1">
      <c r="A58" s="215" t="s">
        <v>204</v>
      </c>
      <c r="B58" s="61">
        <v>3.5</v>
      </c>
      <c r="C58" s="61">
        <f>B58/3.5</f>
        <v>1</v>
      </c>
      <c r="D58" s="61"/>
      <c r="E58" s="62" t="s">
        <v>77</v>
      </c>
      <c r="F58" s="263"/>
      <c r="G58" s="299"/>
      <c r="H58" s="291"/>
      <c r="I58" s="291"/>
    </row>
    <row r="59" spans="1:9" ht="21" customHeight="1">
      <c r="A59" s="215" t="s">
        <v>205</v>
      </c>
      <c r="B59" s="61">
        <v>7</v>
      </c>
      <c r="C59" s="61">
        <f>B59/3.5</f>
        <v>2</v>
      </c>
      <c r="D59" s="61"/>
      <c r="E59" s="62" t="s">
        <v>75</v>
      </c>
      <c r="F59" s="263"/>
      <c r="G59" s="299"/>
      <c r="H59" s="291"/>
      <c r="I59" s="291"/>
    </row>
    <row r="60" spans="1:9" ht="21" customHeight="1" thickBot="1">
      <c r="A60" s="216" t="s">
        <v>206</v>
      </c>
      <c r="B60" s="192">
        <v>17.5</v>
      </c>
      <c r="C60" s="61">
        <f>B60/3.5</f>
        <v>5</v>
      </c>
      <c r="D60" s="192"/>
      <c r="E60" s="190" t="s">
        <v>173</v>
      </c>
      <c r="F60" s="263"/>
      <c r="G60" s="299"/>
      <c r="H60" s="291"/>
      <c r="I60" s="291"/>
    </row>
    <row r="61" spans="1:9" ht="21" customHeight="1" thickBot="1">
      <c r="A61" s="137" t="s">
        <v>185</v>
      </c>
      <c r="B61" s="138">
        <f>SUM(B62:B65)</f>
        <v>35</v>
      </c>
      <c r="C61" s="138"/>
      <c r="D61" s="138"/>
      <c r="E61" s="140"/>
      <c r="F61" s="263"/>
      <c r="G61" s="299"/>
      <c r="H61" s="291"/>
      <c r="I61" s="291"/>
    </row>
    <row r="62" spans="1:9" ht="21" customHeight="1">
      <c r="A62" s="217" t="s">
        <v>207</v>
      </c>
      <c r="B62" s="193">
        <v>7</v>
      </c>
      <c r="C62" s="194">
        <f>B62/3.5</f>
        <v>2</v>
      </c>
      <c r="D62" s="193"/>
      <c r="E62" s="147" t="s">
        <v>75</v>
      </c>
      <c r="F62" s="263"/>
      <c r="G62" s="299"/>
      <c r="H62" s="291"/>
      <c r="I62" s="291"/>
    </row>
    <row r="63" spans="1:9" ht="21" customHeight="1">
      <c r="A63" s="217" t="s">
        <v>208</v>
      </c>
      <c r="B63" s="194">
        <v>7</v>
      </c>
      <c r="C63" s="194">
        <f>B63/3.5</f>
        <v>2</v>
      </c>
      <c r="D63" s="194"/>
      <c r="E63" s="147" t="s">
        <v>75</v>
      </c>
      <c r="F63" s="263"/>
      <c r="G63" s="299"/>
      <c r="H63" s="291"/>
      <c r="I63" s="291"/>
    </row>
    <row r="64" spans="1:9" ht="21" customHeight="1">
      <c r="A64" s="217" t="s">
        <v>209</v>
      </c>
      <c r="B64" s="194">
        <v>3.5</v>
      </c>
      <c r="C64" s="194">
        <f>B64/3.5</f>
        <v>1</v>
      </c>
      <c r="D64" s="194"/>
      <c r="E64" s="147" t="s">
        <v>77</v>
      </c>
      <c r="F64" s="263"/>
      <c r="G64" s="299"/>
      <c r="H64" s="291"/>
      <c r="I64" s="291"/>
    </row>
    <row r="65" spans="1:9" ht="21" customHeight="1" thickBot="1">
      <c r="A65" s="218" t="s">
        <v>210</v>
      </c>
      <c r="B65" s="195">
        <v>17.5</v>
      </c>
      <c r="C65" s="194">
        <f>B65/3.5</f>
        <v>5</v>
      </c>
      <c r="D65" s="195"/>
      <c r="E65" s="148" t="s">
        <v>173</v>
      </c>
      <c r="F65" s="263"/>
      <c r="G65" s="299"/>
      <c r="H65" s="291"/>
      <c r="I65" s="291"/>
    </row>
    <row r="66" spans="1:9" ht="21" customHeight="1" thickBot="1">
      <c r="A66" s="137" t="s">
        <v>191</v>
      </c>
      <c r="B66" s="138">
        <f>SUM(B67:B70)</f>
        <v>35</v>
      </c>
      <c r="C66" s="138"/>
      <c r="D66" s="138"/>
      <c r="E66" s="140"/>
      <c r="F66" s="263"/>
      <c r="G66" s="299"/>
      <c r="H66" s="291"/>
      <c r="I66" s="291"/>
    </row>
    <row r="67" spans="1:9" ht="21" customHeight="1">
      <c r="A67" s="217" t="s">
        <v>211</v>
      </c>
      <c r="B67" s="193">
        <v>7</v>
      </c>
      <c r="C67" s="194">
        <f>B67/3.5</f>
        <v>2</v>
      </c>
      <c r="D67" s="193"/>
      <c r="E67" s="147" t="s">
        <v>75</v>
      </c>
      <c r="F67" s="263"/>
      <c r="G67" s="299"/>
      <c r="H67" s="291"/>
      <c r="I67" s="291"/>
    </row>
    <row r="68" spans="1:9" ht="21" customHeight="1">
      <c r="A68" s="217" t="s">
        <v>212</v>
      </c>
      <c r="B68" s="194">
        <v>7</v>
      </c>
      <c r="C68" s="194">
        <f>B68/3.5</f>
        <v>2</v>
      </c>
      <c r="D68" s="194"/>
      <c r="E68" s="147" t="s">
        <v>87</v>
      </c>
      <c r="F68" s="263"/>
      <c r="G68" s="299"/>
      <c r="H68" s="291"/>
      <c r="I68" s="291"/>
    </row>
    <row r="69" spans="1:9" ht="21" customHeight="1">
      <c r="A69" s="217" t="s">
        <v>213</v>
      </c>
      <c r="B69" s="194">
        <v>3.5</v>
      </c>
      <c r="C69" s="194">
        <f>B69/3.5</f>
        <v>1</v>
      </c>
      <c r="D69" s="194"/>
      <c r="E69" s="147" t="s">
        <v>75</v>
      </c>
      <c r="F69" s="263"/>
      <c r="G69" s="299"/>
      <c r="H69" s="291"/>
      <c r="I69" s="291"/>
    </row>
    <row r="70" spans="1:9" ht="21" customHeight="1" thickBot="1">
      <c r="A70" s="218" t="s">
        <v>214</v>
      </c>
      <c r="B70" s="195">
        <v>17.5</v>
      </c>
      <c r="C70" s="194">
        <f>B70/3.5</f>
        <v>5</v>
      </c>
      <c r="D70" s="195"/>
      <c r="E70" s="148" t="s">
        <v>173</v>
      </c>
      <c r="F70" s="263"/>
      <c r="G70" s="299"/>
      <c r="H70" s="292"/>
      <c r="I70" s="292"/>
    </row>
    <row r="71" spans="1:9" ht="21" customHeight="1" thickBot="1">
      <c r="A71" s="63" t="s">
        <v>96</v>
      </c>
      <c r="B71" s="26">
        <f>SUM(B72:B74)</f>
        <v>35</v>
      </c>
      <c r="C71" s="26"/>
      <c r="D71" s="26"/>
      <c r="E71" s="65" t="s">
        <v>12</v>
      </c>
      <c r="F71" s="149" t="s">
        <v>12</v>
      </c>
      <c r="G71" s="67" t="s">
        <v>12</v>
      </c>
      <c r="H71" s="67" t="s">
        <v>12</v>
      </c>
      <c r="I71" s="67" t="s">
        <v>12</v>
      </c>
    </row>
    <row r="72" spans="1:9" ht="21" customHeight="1">
      <c r="A72" s="185" t="s">
        <v>215</v>
      </c>
      <c r="B72" s="183">
        <v>3.5</v>
      </c>
      <c r="C72" s="111">
        <v>1</v>
      </c>
      <c r="D72" s="183"/>
      <c r="E72" s="184" t="s">
        <v>216</v>
      </c>
      <c r="F72" s="151"/>
      <c r="G72" s="152"/>
      <c r="H72" s="152"/>
      <c r="I72" s="152"/>
    </row>
    <row r="73" spans="1:9" ht="21" customHeight="1">
      <c r="A73" s="177" t="s">
        <v>217</v>
      </c>
      <c r="B73" s="179">
        <v>10.5</v>
      </c>
      <c r="C73" s="19">
        <f>B73/3.5</f>
        <v>3</v>
      </c>
      <c r="D73" s="186" t="s">
        <v>20</v>
      </c>
      <c r="E73" s="187" t="s">
        <v>218</v>
      </c>
      <c r="F73" s="201" t="s">
        <v>12</v>
      </c>
      <c r="G73" s="188" t="s">
        <v>219</v>
      </c>
      <c r="H73" s="188"/>
      <c r="I73" s="72"/>
    </row>
    <row r="74" spans="1:9" ht="21" customHeight="1" thickBot="1">
      <c r="A74" s="153" t="s">
        <v>220</v>
      </c>
      <c r="B74" s="41">
        <v>21</v>
      </c>
      <c r="C74" s="16">
        <f>B74/3.5</f>
        <v>6</v>
      </c>
      <c r="D74" s="41"/>
      <c r="E74" s="154" t="s">
        <v>221</v>
      </c>
      <c r="F74" s="155" t="s">
        <v>12</v>
      </c>
      <c r="G74" s="156" t="s">
        <v>222</v>
      </c>
      <c r="H74" s="156" t="s">
        <v>128</v>
      </c>
      <c r="I74" s="156"/>
    </row>
    <row r="75" spans="1:9" ht="21" customHeight="1" thickBot="1">
      <c r="A75" s="63" t="s">
        <v>223</v>
      </c>
      <c r="B75" s="26">
        <f>SUM(B76:B76)</f>
        <v>35</v>
      </c>
      <c r="C75" s="26"/>
      <c r="D75" s="26"/>
      <c r="E75" s="65" t="s">
        <v>12</v>
      </c>
      <c r="F75" s="149" t="s">
        <v>12</v>
      </c>
      <c r="G75" s="67" t="s">
        <v>12</v>
      </c>
      <c r="H75" s="67" t="s">
        <v>12</v>
      </c>
      <c r="I75" s="67" t="s">
        <v>12</v>
      </c>
    </row>
    <row r="76" spans="1:9" ht="21" customHeight="1" thickBot="1">
      <c r="A76" s="196" t="s">
        <v>224</v>
      </c>
      <c r="B76" s="244">
        <v>35</v>
      </c>
      <c r="C76" s="129">
        <v>10</v>
      </c>
      <c r="D76" s="197"/>
      <c r="E76" s="198" t="s">
        <v>101</v>
      </c>
      <c r="F76" s="199" t="s">
        <v>12</v>
      </c>
      <c r="G76" s="200" t="s">
        <v>12</v>
      </c>
      <c r="H76" s="236" t="s">
        <v>225</v>
      </c>
      <c r="I76" s="200" t="s">
        <v>12</v>
      </c>
    </row>
    <row r="77" spans="1:9" ht="21" customHeight="1" thickBot="1">
      <c r="A77" s="253" t="s">
        <v>112</v>
      </c>
      <c r="B77" s="254">
        <f>SUM(B78:B82)</f>
        <v>70</v>
      </c>
      <c r="C77" s="254"/>
      <c r="D77" s="254"/>
      <c r="E77" s="242" t="s">
        <v>12</v>
      </c>
      <c r="F77" s="242" t="s">
        <v>12</v>
      </c>
      <c r="G77" s="255" t="s">
        <v>12</v>
      </c>
      <c r="H77" s="242" t="s">
        <v>12</v>
      </c>
      <c r="I77" s="243" t="s">
        <v>12</v>
      </c>
    </row>
    <row r="78" spans="1:9" s="239" customFormat="1" ht="17.45" customHeight="1" thickBot="1">
      <c r="A78" s="256" t="s">
        <v>226</v>
      </c>
      <c r="B78" s="257">
        <v>0</v>
      </c>
      <c r="C78" s="257">
        <v>0</v>
      </c>
      <c r="D78" s="257"/>
      <c r="E78" s="257" t="s">
        <v>227</v>
      </c>
      <c r="F78" s="258"/>
      <c r="G78" s="259"/>
      <c r="H78" s="261" t="s">
        <v>228</v>
      </c>
      <c r="I78" s="252"/>
    </row>
    <row r="79" spans="1:9" ht="21" customHeight="1" thickBot="1">
      <c r="A79" s="246" t="s">
        <v>229</v>
      </c>
      <c r="B79" s="247">
        <v>10.5</v>
      </c>
      <c r="C79" s="249">
        <v>3</v>
      </c>
      <c r="D79" s="247"/>
      <c r="E79" s="247" t="s">
        <v>227</v>
      </c>
      <c r="F79" s="249" t="s">
        <v>230</v>
      </c>
      <c r="G79" s="260" t="s">
        <v>12</v>
      </c>
      <c r="H79" s="251"/>
      <c r="I79" s="87" t="s">
        <v>12</v>
      </c>
    </row>
    <row r="80" spans="1:9" ht="25.9" customHeight="1" thickBot="1">
      <c r="A80" s="157" t="s">
        <v>231</v>
      </c>
      <c r="B80" s="158">
        <v>35</v>
      </c>
      <c r="C80" s="158">
        <v>10</v>
      </c>
      <c r="D80" s="158"/>
      <c r="E80" s="158" t="s">
        <v>232</v>
      </c>
      <c r="F80" s="159" t="s">
        <v>233</v>
      </c>
      <c r="G80" s="160" t="s">
        <v>12</v>
      </c>
      <c r="H80" s="237" t="s">
        <v>234</v>
      </c>
      <c r="I80" s="160" t="s">
        <v>12</v>
      </c>
    </row>
    <row r="81" spans="1:9" ht="21" customHeight="1" thickBot="1">
      <c r="A81" s="246" t="s">
        <v>235</v>
      </c>
      <c r="B81" s="247">
        <v>10.5</v>
      </c>
      <c r="C81" s="247">
        <v>3</v>
      </c>
      <c r="D81" s="247"/>
      <c r="E81" s="248"/>
      <c r="F81" s="249" t="s">
        <v>230</v>
      </c>
      <c r="G81" s="250"/>
      <c r="H81" s="251"/>
      <c r="I81" s="160"/>
    </row>
    <row r="82" spans="1:9" ht="21" customHeight="1" thickBot="1">
      <c r="A82" s="153" t="s">
        <v>236</v>
      </c>
      <c r="B82" s="118">
        <v>14</v>
      </c>
      <c r="C82" s="31">
        <v>4</v>
      </c>
      <c r="D82" s="118"/>
      <c r="E82" s="154" t="s">
        <v>12</v>
      </c>
      <c r="F82" s="161" t="s">
        <v>12</v>
      </c>
      <c r="G82" s="162" t="s">
        <v>12</v>
      </c>
      <c r="H82" s="238" t="s">
        <v>237</v>
      </c>
      <c r="I82" s="162" t="s">
        <v>12</v>
      </c>
    </row>
    <row r="83" spans="1:9" ht="21" customHeight="1" thickBot="1">
      <c r="A83" s="90" t="s">
        <v>126</v>
      </c>
      <c r="B83" s="91">
        <f>SUM(B4,B24,B71,B75,B77)</f>
        <v>539</v>
      </c>
      <c r="C83" s="92"/>
      <c r="D83" s="92"/>
      <c r="E83" s="93" t="s">
        <v>12</v>
      </c>
      <c r="F83" s="94" t="s">
        <v>12</v>
      </c>
      <c r="G83" s="95" t="s">
        <v>12</v>
      </c>
      <c r="H83" s="95" t="s">
        <v>12</v>
      </c>
      <c r="I83" s="95" t="s">
        <v>12</v>
      </c>
    </row>
    <row r="84" spans="1:9">
      <c r="A84" s="96" t="s">
        <v>127</v>
      </c>
      <c r="B84" s="96">
        <v>539</v>
      </c>
      <c r="C84" s="96"/>
      <c r="D84" s="219"/>
      <c r="E84" s="219"/>
      <c r="F84" s="219"/>
      <c r="G84" s="96"/>
      <c r="H84" s="96"/>
      <c r="I84" s="96"/>
    </row>
    <row r="85" spans="1:9">
      <c r="A85" s="96" t="s">
        <v>129</v>
      </c>
      <c r="B85" s="219"/>
      <c r="C85" s="96"/>
      <c r="D85" s="96"/>
      <c r="E85" s="96"/>
      <c r="F85" s="96"/>
      <c r="G85" s="96"/>
      <c r="H85" s="96"/>
      <c r="I85" s="96"/>
    </row>
    <row r="86" spans="1:9">
      <c r="A86" s="96"/>
      <c r="B86" s="96"/>
      <c r="C86" s="96"/>
      <c r="D86" s="96"/>
      <c r="E86" s="96"/>
      <c r="F86" s="96"/>
      <c r="G86" s="96"/>
      <c r="H86" s="96"/>
      <c r="I86" s="96"/>
    </row>
  </sheetData>
  <mergeCells count="21">
    <mergeCell ref="A1:I1"/>
    <mergeCell ref="A2:I2"/>
    <mergeCell ref="A5:E5"/>
    <mergeCell ref="F5:F22"/>
    <mergeCell ref="G5:G10"/>
    <mergeCell ref="G11:G16"/>
    <mergeCell ref="A14:E14"/>
    <mergeCell ref="G17:G20"/>
    <mergeCell ref="A20:E20"/>
    <mergeCell ref="H5:H22"/>
    <mergeCell ref="I5:I22"/>
    <mergeCell ref="H26:H48"/>
    <mergeCell ref="I26:I48"/>
    <mergeCell ref="H50:H70"/>
    <mergeCell ref="I50:I70"/>
    <mergeCell ref="A26:E26"/>
    <mergeCell ref="F26:F48"/>
    <mergeCell ref="G26:G48"/>
    <mergeCell ref="A50:E50"/>
    <mergeCell ref="F50:F70"/>
    <mergeCell ref="G50:G70"/>
  </mergeCells>
  <printOptions horizontalCentered="1"/>
  <pageMargins left="0.25" right="0.25" top="0.75" bottom="0.75" header="0.3" footer="0.3"/>
  <pageSetup paperSize="8" scale="5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617c791-6202-4fcd-88c2-db4623680bfb" xsi:nil="true"/>
    <lcf76f155ced4ddcb4097134ff3c332f xmlns="747a320c-6b4e-4183-88dd-923490d0c25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DCEF711806F834C88A2266E5B45593A" ma:contentTypeVersion="13" ma:contentTypeDescription="Crée un document." ma:contentTypeScope="" ma:versionID="10aa5c255e09aa7decb0497044d5fbd6">
  <xsd:schema xmlns:xsd="http://www.w3.org/2001/XMLSchema" xmlns:xs="http://www.w3.org/2001/XMLSchema" xmlns:p="http://schemas.microsoft.com/office/2006/metadata/properties" xmlns:ns2="747a320c-6b4e-4183-88dd-923490d0c259" xmlns:ns3="b617c791-6202-4fcd-88c2-db4623680bfb" targetNamespace="http://schemas.microsoft.com/office/2006/metadata/properties" ma:root="true" ma:fieldsID="a9fa10871be4e70de07d3bf7ec3fb09b" ns2:_="" ns3:_="">
    <xsd:import namespace="747a320c-6b4e-4183-88dd-923490d0c259"/>
    <xsd:import namespace="b617c791-6202-4fcd-88c2-db4623680bf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7a320c-6b4e-4183-88dd-923490d0c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7168b66e-d3ba-4677-90b6-fb5053d511e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617c791-6202-4fcd-88c2-db4623680bf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9c030ca-5bcd-4293-b56e-e444ae085622}" ma:internalName="TaxCatchAll" ma:showField="CatchAllData" ma:web="b617c791-6202-4fcd-88c2-db4623680b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E8AF5A-4C40-451A-9E96-8AB381DC445D}"/>
</file>

<file path=customXml/itemProps2.xml><?xml version="1.0" encoding="utf-8"?>
<ds:datastoreItem xmlns:ds="http://schemas.openxmlformats.org/officeDocument/2006/customXml" ds:itemID="{3F9E02F8-CA12-4F4D-AC39-77261D645DCF}"/>
</file>

<file path=customXml/itemProps3.xml><?xml version="1.0" encoding="utf-8"?>
<ds:datastoreItem xmlns:ds="http://schemas.openxmlformats.org/officeDocument/2006/customXml" ds:itemID="{352697CC-1A8D-49B5-854E-C82544E7E0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Arnaud ROBERT</dc:creator>
  <cp:keywords/>
  <dc:description/>
  <cp:lastModifiedBy>HERVE Ludovic</cp:lastModifiedBy>
  <cp:revision/>
  <dcterms:created xsi:type="dcterms:W3CDTF">2025-08-14T13:35:24Z</dcterms:created>
  <dcterms:modified xsi:type="dcterms:W3CDTF">2026-02-23T16:35:13Z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0x010100ADCEF711806F834C88A2266E5B45593A</vt:lpwstr>
  </property>
</Properties>
</file>