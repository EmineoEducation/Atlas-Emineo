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emineoeducation-my.sharepoint.com/personal/ludovic_herve_emineo-education_fr/Documents/Pédagogie/01-Référentiels/Bachelor CDC SDV/"/>
    </mc:Choice>
  </mc:AlternateContent>
  <xr:revisionPtr revIDLastSave="58" documentId="13_ncr:1_{F413DD11-6F19-4761-B57A-C0956D64AD09}" xr6:coauthVersionLast="47" xr6:coauthVersionMax="47" xr10:uidLastSave="{B49E9DA9-41E6-46DB-90E8-213F97129F81}"/>
  <bookViews>
    <workbookView xWindow="0" yWindow="0" windowWidth="11520" windowHeight="12360" firstSheet="2" activeTab="2" xr2:uid="{1D2A2DCA-D8A9-4849-AEF3-5B9392D15C4A}"/>
  </bookViews>
  <sheets>
    <sheet name="Pro 1" sheetId="1" r:id="rId1"/>
    <sheet name="Pro2" sheetId="2" r:id="rId2"/>
    <sheet name="Pro3" sheetId="3" r:id="rId3"/>
  </sheets>
  <definedNames>
    <definedName name="_xlnm.Print_Area" localSheetId="2">'Pro3'!$A$1:$E$60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3" l="1"/>
  <c r="B41" i="3"/>
  <c r="B36" i="3" l="1"/>
  <c r="B3" i="3"/>
  <c r="B7" i="3"/>
  <c r="B18" i="3"/>
  <c r="B14" i="3" s="1"/>
  <c r="B25" i="3"/>
  <c r="B33" i="3"/>
  <c r="B12" i="2"/>
  <c r="C3" i="2"/>
  <c r="D3" i="2"/>
  <c r="B3" i="2"/>
  <c r="C34" i="2"/>
  <c r="D34" i="2"/>
  <c r="D12" i="2"/>
  <c r="C12" i="2"/>
  <c r="E18" i="1"/>
  <c r="B33" i="1"/>
  <c r="D33" i="1"/>
  <c r="B29" i="1"/>
  <c r="C29" i="1"/>
  <c r="D29" i="1"/>
  <c r="C15" i="1"/>
  <c r="D15" i="1"/>
  <c r="B15" i="1"/>
  <c r="D3" i="1"/>
  <c r="B3" i="1"/>
  <c r="C3" i="1"/>
  <c r="B48" i="3" l="1"/>
  <c r="C37" i="2"/>
  <c r="B34" i="2"/>
  <c r="E27" i="2"/>
  <c r="E38" i="1"/>
  <c r="E37" i="1"/>
  <c r="E36" i="1"/>
  <c r="E35" i="1"/>
  <c r="E34" i="1"/>
  <c r="C33" i="1"/>
  <c r="E32" i="1"/>
  <c r="E31" i="1"/>
  <c r="E30" i="1"/>
  <c r="E28" i="1"/>
  <c r="E27" i="1"/>
  <c r="E24" i="1"/>
  <c r="E25" i="1"/>
  <c r="E23" i="1"/>
  <c r="E21" i="1"/>
  <c r="E20" i="1"/>
  <c r="E19" i="1"/>
  <c r="E17" i="1"/>
  <c r="E16" i="1"/>
  <c r="E26" i="1"/>
  <c r="E22" i="1"/>
  <c r="E14" i="1"/>
  <c r="E13" i="1"/>
  <c r="E12" i="1"/>
  <c r="E11" i="1"/>
  <c r="E10" i="1"/>
  <c r="E9" i="1"/>
  <c r="E8" i="1"/>
  <c r="E7" i="1"/>
  <c r="E5" i="1"/>
  <c r="E6" i="1"/>
  <c r="E4" i="1"/>
  <c r="D37" i="2" l="1"/>
  <c r="B37" i="2"/>
  <c r="C40" i="1"/>
  <c r="B59" i="3"/>
  <c r="B40" i="1"/>
  <c r="D40" i="1"/>
</calcChain>
</file>

<file path=xl/sharedStrings.xml><?xml version="1.0" encoding="utf-8"?>
<sst xmlns="http://schemas.openxmlformats.org/spreadsheetml/2006/main" count="375" uniqueCount="215">
  <si>
    <t>B1 - Prépa BACHELOR Chargé de Communication
RNCP 39741</t>
  </si>
  <si>
    <t>Module</t>
  </si>
  <si>
    <t>Volumétrie Préconisée V1</t>
  </si>
  <si>
    <t>Volumétrie CESACOM V2</t>
  </si>
  <si>
    <t>FFP</t>
  </si>
  <si>
    <t>Séances</t>
  </si>
  <si>
    <t>Séquençage</t>
  </si>
  <si>
    <t>Evaluations certifiantes</t>
  </si>
  <si>
    <t>Commentaires</t>
  </si>
  <si>
    <t>Enseignements généraux</t>
  </si>
  <si>
    <t>Anglais de la communication</t>
  </si>
  <si>
    <t>S1 + S2</t>
  </si>
  <si>
    <t xml:space="preserve"> </t>
  </si>
  <si>
    <t>Projet Voltaire</t>
  </si>
  <si>
    <t>S1+S2</t>
  </si>
  <si>
    <t>Économie : fondamentaux</t>
  </si>
  <si>
    <t>S2</t>
  </si>
  <si>
    <t>Introduction Droit de la communication</t>
  </si>
  <si>
    <t>S1</t>
  </si>
  <si>
    <t>Notions de RGPD, Opt-In, Mentions légales…</t>
  </si>
  <si>
    <t>Introduction au Droit du travail</t>
  </si>
  <si>
    <t>Culture générale appliquée à  la Communication (sociologie, psychologie, philosophie)</t>
  </si>
  <si>
    <t>Anciennement Humanités</t>
  </si>
  <si>
    <t>Rhétorique/ écriture créative</t>
  </si>
  <si>
    <t>Art oratoire / éloquence</t>
  </si>
  <si>
    <t>Sémiologie</t>
  </si>
  <si>
    <t>Histoire des médias</t>
  </si>
  <si>
    <t>Culture de la publicité</t>
  </si>
  <si>
    <t>Enseignements Professionnels</t>
  </si>
  <si>
    <t>PAO (Inititiation Adobe)</t>
  </si>
  <si>
    <t>Commencer dès le début de la formation</t>
  </si>
  <si>
    <t>Vidéo</t>
  </si>
  <si>
    <t>Photo</t>
  </si>
  <si>
    <t>Wordpress/ CMS</t>
  </si>
  <si>
    <t>Introduction aux outils IA</t>
  </si>
  <si>
    <t>Fondamentaux Marketing</t>
  </si>
  <si>
    <t>comprendre les dynamiques de marché</t>
  </si>
  <si>
    <t>Connaissance du consommateur</t>
  </si>
  <si>
    <t>Stratégies de communication</t>
  </si>
  <si>
    <t>imaginer et construire des plans d'action</t>
  </si>
  <si>
    <t>Réseaux sociaux &amp; Influence</t>
  </si>
  <si>
    <t>Evenementiel et relations presse</t>
  </si>
  <si>
    <t>Écologie et communication soutenable et responsable</t>
  </si>
  <si>
    <t>Typographie et identité visuelle</t>
  </si>
  <si>
    <t>Fabrication : de l'idée à la réalisation</t>
  </si>
  <si>
    <t>Visite d'une imprimerie</t>
  </si>
  <si>
    <t>SoftSkills Professionnels</t>
  </si>
  <si>
    <t>Savoir-être dans le cadre professionnel</t>
  </si>
  <si>
    <t>E-reputation et personnal branding</t>
  </si>
  <si>
    <t>Tribunal de l’éloquence</t>
  </si>
  <si>
    <t>Organisation pédagogique</t>
  </si>
  <si>
    <t>Accueil en formation</t>
  </si>
  <si>
    <t>Pas dans référentiel de base</t>
  </si>
  <si>
    <t>Intégration</t>
  </si>
  <si>
    <t>Révisions</t>
  </si>
  <si>
    <t>Partiels : Brief annonceur</t>
  </si>
  <si>
    <t>Sortie pédagogique Culturel</t>
  </si>
  <si>
    <t>Musée de l'imprimerie ?</t>
  </si>
  <si>
    <t>Sortie pédagogique Média</t>
  </si>
  <si>
    <t>Visite régie TV / Radio</t>
  </si>
  <si>
    <t>Durée formation</t>
  </si>
  <si>
    <t>Volumétrie cible calendaire :</t>
  </si>
  <si>
    <t>Volumétrie cible FFP :</t>
  </si>
  <si>
    <t>B2 - Prépa BACHELOR Chargé de Communication
RNCP 39741</t>
  </si>
  <si>
    <t>S1 S2</t>
  </si>
  <si>
    <t>prévoir 1 séance en autonomie ou partiel de fin de module</t>
  </si>
  <si>
    <t>Économie de la communication</t>
  </si>
  <si>
    <t>Droit de la communication</t>
  </si>
  <si>
    <t>Attention à la progression pédago vs A1</t>
  </si>
  <si>
    <t>Voir Volumétrie  Anciennement Humanités</t>
  </si>
  <si>
    <t>Rhétorique et Expression orale</t>
  </si>
  <si>
    <t>Interaction avec l'environnement</t>
  </si>
  <si>
    <t>Neurosciences/ sciences cognitives</t>
  </si>
  <si>
    <t>Culture Publicitaire</t>
  </si>
  <si>
    <t>Enseignements Professionnels et tehniques</t>
  </si>
  <si>
    <t>PAO (Adobe)</t>
  </si>
  <si>
    <t>NoCodecréatif (IAGen)</t>
  </si>
  <si>
    <t>Expression et création visuelle</t>
  </si>
  <si>
    <t>Écriture créative et storytelling</t>
  </si>
  <si>
    <t>Marketing et webmarketing</t>
  </si>
  <si>
    <t>Communication Responsable</t>
  </si>
  <si>
    <t>(ex. Anthropocène</t>
  </si>
  <si>
    <t>Evenementiel et Relations Presse</t>
  </si>
  <si>
    <t>Attention prog VS A1</t>
  </si>
  <si>
    <t>Veille stratégique</t>
  </si>
  <si>
    <t>Voir Volumétrie</t>
  </si>
  <si>
    <t>Rapport de veille créatif</t>
  </si>
  <si>
    <t>Accompagnement production B2</t>
  </si>
  <si>
    <t>Analyse consommateur</t>
  </si>
  <si>
    <t>Relations commerciales</t>
  </si>
  <si>
    <t>Introduction au Mediaplanning</t>
  </si>
  <si>
    <t>Caractériser les 6 média en les associant à une stratégie</t>
  </si>
  <si>
    <t>Stratégie digitale et social media</t>
  </si>
  <si>
    <t>Personal Branding</t>
  </si>
  <si>
    <t>Wordpress/ HTML CSS3</t>
  </si>
  <si>
    <t>Introduction au référencement (SEO/SEA)</t>
  </si>
  <si>
    <t>Indicateurs de performance (Kpi's)</t>
  </si>
  <si>
    <t>Exploitation raisonnée des outils de perf</t>
  </si>
  <si>
    <t>Gestion Projet</t>
  </si>
  <si>
    <t>Compétition Nationale CESACOM</t>
  </si>
  <si>
    <t>Préparation Compétition</t>
  </si>
  <si>
    <t>Compétition</t>
  </si>
  <si>
    <t>B3 - BACHELOR Chargé de Communication
RNCP 39741</t>
  </si>
  <si>
    <t>Volumétrie</t>
  </si>
  <si>
    <t xml:space="preserve">Compétences liées </t>
  </si>
  <si>
    <t>Epreuves certifiantes</t>
  </si>
  <si>
    <t xml:space="preserve">Commétences du bloc </t>
  </si>
  <si>
    <t>Bloc 01 - Mener une veille stratégique créative et tendancielle</t>
  </si>
  <si>
    <t>Méthodologies de la veille</t>
  </si>
  <si>
    <t>C1</t>
  </si>
  <si>
    <t>S1 (avant la remise du dossier VST)</t>
  </si>
  <si>
    <r>
      <rPr>
        <b/>
        <sz val="10"/>
        <color rgb="FF000000"/>
        <rFont val="Aptos Narrow"/>
        <family val="2"/>
        <scheme val="minor"/>
      </rPr>
      <t>EC MSPR VST</t>
    </r>
    <r>
      <rPr>
        <sz val="10"/>
        <color rgb="FF000000"/>
        <rFont val="Aptos Narrow"/>
        <family val="2"/>
        <scheme val="minor"/>
      </rPr>
      <t xml:space="preserve"> : individuel, ecrit + oral
(Veille stratégique, créative et tendancielle)</t>
    </r>
  </si>
  <si>
    <r>
      <rPr>
        <b/>
        <sz val="8"/>
        <color rgb="FF000000"/>
        <rFont val="Aptos Narrow"/>
        <family val="2"/>
        <scheme val="minor"/>
      </rPr>
      <t>C1 : Organisation du processus de veille permanente et/ou ponctuelle</t>
    </r>
    <r>
      <rPr>
        <sz val="8"/>
        <color rgb="FF000000"/>
        <rFont val="Aptos Narrow"/>
        <family val="2"/>
        <scheme val="minor"/>
      </rPr>
      <t xml:space="preserve"> : 
C1.1: Définir un process de veille permanente et ponctuelle, via une méthodologie, des outils (dont l’intelligence artificielle) et sources spécifiques, afin d’optimiser la recherche/ sélection d’informations 
</t>
    </r>
    <r>
      <rPr>
        <b/>
        <sz val="8"/>
        <color rgb="FF000000"/>
        <rFont val="Aptos Narrow"/>
        <family val="2"/>
        <scheme val="minor"/>
      </rPr>
      <t xml:space="preserve">C2 : Identification des tendances et innovations en communication : </t>
    </r>
    <r>
      <rPr>
        <sz val="8"/>
        <color rgb="FF000000"/>
        <rFont val="Aptos Narrow"/>
        <family val="2"/>
        <scheme val="minor"/>
      </rPr>
      <t xml:space="preserve">
C2.1 : Analyser les tendances actuelles et à venir de la société en général, et en termes d'information, communication, consommation en particulier, afin d'orienter les réflexions stratégiques et solutions préconisées, 
C2.2 :  Présenter une synthèse de la veille effectuée, par le biais de document synthétique et visuel, dans l'optique d'aider à la prise de décisions pour tous les acteurs concernés par ces informations</t>
    </r>
  </si>
  <si>
    <t>Communication durable et soutenable</t>
  </si>
  <si>
    <t>Connaissance et comportement du consommateur</t>
  </si>
  <si>
    <t>C2</t>
  </si>
  <si>
    <t>Bloc 02 - Définir une stratégie et un plan de communication</t>
  </si>
  <si>
    <t>Stratégie et positionnement de la marque</t>
  </si>
  <si>
    <t>C3</t>
  </si>
  <si>
    <r>
      <rPr>
        <b/>
        <sz val="10"/>
        <color rgb="FF000000"/>
        <rFont val="Aptos Narrow"/>
        <family val="2"/>
        <scheme val="minor"/>
      </rPr>
      <t>EC MSPR Groka</t>
    </r>
    <r>
      <rPr>
        <sz val="10"/>
        <color rgb="FF000000"/>
        <rFont val="Aptos Narrow"/>
        <family val="2"/>
        <scheme val="minor"/>
      </rPr>
      <t xml:space="preserve"> : individuel, écrit
</t>
    </r>
    <r>
      <rPr>
        <b/>
        <sz val="10"/>
        <color rgb="FF000000"/>
        <rFont val="Aptos Narrow"/>
        <family val="2"/>
        <scheme val="minor"/>
      </rPr>
      <t>EC MSPR Compet' nat'</t>
    </r>
    <r>
      <rPr>
        <sz val="10"/>
        <color rgb="FF000000"/>
        <rFont val="Aptos Narrow"/>
        <family val="2"/>
        <scheme val="minor"/>
      </rPr>
      <t xml:space="preserve"> : Sous-groupe, oral
(définition stratégie de communication + plan de communication)</t>
    </r>
  </si>
  <si>
    <t>Dont 3,5h pour faire le lien avec EC2.2 Compet Nat</t>
  </si>
  <si>
    <r>
      <rPr>
        <b/>
        <sz val="8"/>
        <color rgb="FF000000"/>
        <rFont val="Aptos Narrow"/>
        <family val="2"/>
        <scheme val="minor"/>
      </rPr>
      <t>C3 : Analyse de la demande du client interne ou externe</t>
    </r>
    <r>
      <rPr>
        <sz val="8"/>
        <color rgb="FF000000"/>
        <rFont val="Aptos Narrow"/>
        <family val="2"/>
        <scheme val="minor"/>
      </rPr>
      <t xml:space="preserve"> : 
C3.1. Dresser le diagnostic de la situation en prenant appui sur le brief annonceur pour identifier les enjeux de la future communication
C3.2 : Problématiser la demande du client, en identifiant les opportunités, obstacles et cibles, afin de déterminer une stratégie et un plan de communication en cohérence avec le contexte interne/externe
</t>
    </r>
    <r>
      <rPr>
        <b/>
        <sz val="8"/>
        <color rgb="FF000000"/>
        <rFont val="Aptos Narrow"/>
        <family val="2"/>
        <scheme val="minor"/>
      </rPr>
      <t xml:space="preserve">C4 : Elaboration de la recommandation stratégique de communication : </t>
    </r>
    <r>
      <rPr>
        <sz val="8"/>
        <color rgb="FF000000"/>
        <rFont val="Aptos Narrow"/>
        <family val="2"/>
        <scheme val="minor"/>
      </rPr>
      <t xml:space="preserve">
C 4.1. Proposer une solution à mettre en oeuvre, basée sur l’identité et les objectifs de l’annonceur, le contexte socio-économique, culturel ainsi que le cadre règlementaire du domaine d’activité concerné, en l'inscrivant dans une perspective de durabilité, ainsi que de vécu expérientiel, afin de garantir originalité et faisabilité 
C4.2. Planifier les actions recommandées et affecter les ressources nécessaires, dans le but d'optimiser la réussite du projet
</t>
    </r>
    <r>
      <rPr>
        <b/>
        <sz val="8"/>
        <color rgb="FF000000"/>
        <rFont val="Aptos Narrow"/>
        <family val="2"/>
        <scheme val="minor"/>
      </rPr>
      <t xml:space="preserve">C5 : Présentation de la recommandation au client/ à l’annonceur : </t>
    </r>
    <r>
      <rPr>
        <sz val="8"/>
        <color rgb="FF000000"/>
        <rFont val="Aptos Narrow"/>
        <family val="2"/>
        <scheme val="minor"/>
      </rPr>
      <t xml:space="preserve">
C5.1. Présenter la recommandation, en utilisant des techniques de communication et de négociation, afin de convaincre le client que le dispositif choisi lui permettra d'atteindre ses objectifs</t>
    </r>
  </si>
  <si>
    <t>Marketing (plan marketing stratégique &amp; plan de communication)</t>
  </si>
  <si>
    <t>C4</t>
  </si>
  <si>
    <t>Stratégies des marques : identité visuelle, storytelling et réputation</t>
  </si>
  <si>
    <t>SEO/SEA</t>
  </si>
  <si>
    <t>C4.2</t>
  </si>
  <si>
    <t>SMA/SMO</t>
  </si>
  <si>
    <t>EC Compet' Nat'</t>
  </si>
  <si>
    <t>C3 à C5</t>
  </si>
  <si>
    <t>7h comptabilisées en FFP pour la finale</t>
  </si>
  <si>
    <t>Bloc 03 - Piloter l'équipe projet</t>
  </si>
  <si>
    <t>Management d'équipe &amp; Gestion de projets (méthodologies)</t>
  </si>
  <si>
    <t>C7</t>
  </si>
  <si>
    <r>
      <rPr>
        <b/>
        <sz val="10"/>
        <color rgb="FF000000"/>
        <rFont val="Aptos Narrow"/>
        <family val="2"/>
        <scheme val="minor"/>
      </rPr>
      <t>EC MSPR  Brief Créatif</t>
    </r>
    <r>
      <rPr>
        <sz val="10"/>
        <color rgb="FF000000"/>
        <rFont val="Aptos Narrow"/>
        <family val="2"/>
        <scheme val="minor"/>
      </rPr>
      <t xml:space="preserve"> : individuel, écrit + oral</t>
    </r>
  </si>
  <si>
    <r>
      <rPr>
        <b/>
        <sz val="8"/>
        <color rgb="FF000000"/>
        <rFont val="Aptos Narrow"/>
        <family val="2"/>
        <scheme val="minor"/>
      </rPr>
      <t>C6 : Encadrement de la production de messages et contenus</t>
    </r>
    <r>
      <rPr>
        <sz val="8"/>
        <color rgb="FF000000"/>
        <rFont val="Aptos Narrow"/>
        <family val="2"/>
        <scheme val="minor"/>
      </rPr>
      <t xml:space="preserve"> :
C6.1. Traduire le plan de communication en brief des équipes créatives / de production spécifique, à partir des enjeux stratégiques de la commande, en orientant la production autour de l’éco-conception des solutions retenues, en garantissant la conformité légale des messages et contenus, afin de coordonner les experts métiers dans le sens de la recommandation
</t>
    </r>
    <r>
      <rPr>
        <b/>
        <sz val="8"/>
        <color rgb="FF000000"/>
        <rFont val="Aptos Narrow"/>
        <family val="2"/>
        <scheme val="minor"/>
      </rPr>
      <t xml:space="preserve">C7 : Coordination de l'équipe projet : </t>
    </r>
    <r>
      <rPr>
        <sz val="8"/>
        <color rgb="FF000000"/>
        <rFont val="Aptos Narrow"/>
        <family val="2"/>
        <scheme val="minor"/>
      </rPr>
      <t xml:space="preserve">
C7.1. Piloter les collaborations professionnelles, en ayant recours à des techniques de communication adaptées, dans une visée de dynamique inclusive d'équipe
C7.2. Mobiliser l’ensemble des parties prenantes, en prenant en compte leurs besoins spécifiques, dans une logique de génération de valeur aux niveaux micro, méso et macro</t>
    </r>
  </si>
  <si>
    <t>Eloquence &amp; Art oratoire</t>
  </si>
  <si>
    <t>C6</t>
  </si>
  <si>
    <t>Relation presse</t>
  </si>
  <si>
    <t>C6.1</t>
  </si>
  <si>
    <t>Identité d'agence</t>
  </si>
  <si>
    <t>&gt; Elevator Pitch</t>
  </si>
  <si>
    <t>&gt; Méthodologie et naming</t>
  </si>
  <si>
    <t>&gt; Identité visuelle &amp; PAO</t>
  </si>
  <si>
    <t>&gt; Gestion de projets</t>
  </si>
  <si>
    <t>&gt; Evénémentiel</t>
  </si>
  <si>
    <t>&gt; Vidéo</t>
  </si>
  <si>
    <t>Bloc 04 - Réaliser des contenus de communication</t>
  </si>
  <si>
    <t>PAO/Adobe</t>
  </si>
  <si>
    <t>C10</t>
  </si>
  <si>
    <r>
      <rPr>
        <b/>
        <sz val="10"/>
        <color rgb="FF000000"/>
        <rFont val="Aptos Narrow"/>
        <family val="2"/>
        <scheme val="minor"/>
      </rPr>
      <t>EC Book Séminaire d'option</t>
    </r>
    <r>
      <rPr>
        <sz val="10"/>
        <color rgb="FF000000"/>
        <rFont val="Aptos Narrow"/>
        <family val="2"/>
        <scheme val="minor"/>
      </rPr>
      <t xml:space="preserve"> : individuel, écrit
(compilation de supports de communication)</t>
    </r>
  </si>
  <si>
    <t>+21h intégrées aux intensives, RAN et IDA</t>
  </si>
  <si>
    <r>
      <rPr>
        <b/>
        <sz val="8"/>
        <color rgb="FF000000"/>
        <rFont val="Aptos Narrow"/>
        <family val="2"/>
        <scheme val="minor"/>
      </rPr>
      <t>C8 : Pilotage d’un réseau de partenaires</t>
    </r>
    <r>
      <rPr>
        <sz val="8"/>
        <color rgb="FF000000"/>
        <rFont val="Aptos Narrow"/>
        <family val="2"/>
        <scheme val="minor"/>
      </rPr>
      <t xml:space="preserve"> : 
C8.1. Sélectionner les prestataires (fournisseurs, influenceurs, etc.) dans une logique d’achat responsable, afin de garantir la conformité au cahier des charges ainsi que la durabilité des actions de communication
C8.2. Développer un réseau responsable de partenaires, en intégrant les dimensions de viabilité, équitabilité et durabilité dans la collaboration, afin de pérenniser l’activité de manière durable
</t>
    </r>
    <r>
      <rPr>
        <b/>
        <sz val="8"/>
        <color rgb="FF000000"/>
        <rFont val="Aptos Narrow"/>
        <family val="2"/>
        <scheme val="minor"/>
      </rPr>
      <t xml:space="preserve">C9 : Conception universelle de supports de communication : </t>
    </r>
    <r>
      <rPr>
        <sz val="8"/>
        <color rgb="FF000000"/>
        <rFont val="Aptos Narrow"/>
        <family val="2"/>
        <scheme val="minor"/>
      </rPr>
      <t xml:space="preserve">
C9.1. Concevoir des supports de communication, à partir de l’analyse de la cible visée, de son potentiel handicap et du contexte de prise de connaissance du support de communication, via le design inclusif (universel), et dans le respect du cadre règlementaire associé au domaine d’activité concerné par le projet de communication, afin de favoriser l’accès et la mémorisation du message et dans une perspective d’universalité et d’inclusion
</t>
    </r>
    <r>
      <rPr>
        <b/>
        <sz val="8"/>
        <color rgb="FF000000"/>
        <rFont val="Aptos Narrow"/>
        <family val="2"/>
        <scheme val="minor"/>
      </rPr>
      <t xml:space="preserve">C10 : Production de contenus en tenant compte des impératifs d’accessibilité : </t>
    </r>
    <r>
      <rPr>
        <sz val="8"/>
        <color rgb="FF000000"/>
        <rFont val="Aptos Narrow"/>
        <family val="2"/>
        <scheme val="minor"/>
      </rPr>
      <t xml:space="preserve">
10.1. Produire des (ou participer à la production de) contenus rédactionnels imprimés accessibles, à partir du brief créatif, à l’aide de l’intelligence artificielle, dans le respect du cadre règlementaire, afin de produire une information écrite à la fois innovante et accessible à tous
C10.2. Produire des (ou participer à la production de) contenus rédactionnels pour le web accessibles et responsive, à partir du brief créatif, en appliquant les méthodes de responsive design et responsive content, en prenant en compte les contraintes légales associées, pour participer à la construction et l’animation de l’écosystème digital de la marque / de l’annonceur
C10.3. Produire des (ou participer à la production de) messages visuels et audiovisuels accessibles, via des logiciels de publication assistée par ordinateur (PAO) ou de montage vidéo, en ayant recours à l’intelligence artificielle, en prenant en compte les contraintes légales associées, afin de représenter et distinguer la marque dans ses différentes prises de paroles</t>
    </r>
  </si>
  <si>
    <t>Vidéo/Photo</t>
  </si>
  <si>
    <t>+14h intégrées aux intensives, RAN et IDA</t>
  </si>
  <si>
    <t>Wordpress</t>
  </si>
  <si>
    <t xml:space="preserve">IA Generatives : Méthodologie de prompting </t>
  </si>
  <si>
    <t>C9</t>
  </si>
  <si>
    <t>Sémiologie de la communication et des couleurs</t>
  </si>
  <si>
    <t>Ecriture créative et storytelling</t>
  </si>
  <si>
    <t>Semaines intensives d'option (Transverse Blocs 1 à 5)</t>
  </si>
  <si>
    <t>C8 à C10</t>
  </si>
  <si>
    <t>Bloc 05 - Evaluer la performance du projet de communication</t>
  </si>
  <si>
    <t>Budget et négociation</t>
  </si>
  <si>
    <t>C11</t>
  </si>
  <si>
    <r>
      <rPr>
        <b/>
        <sz val="10"/>
        <color rgb="FF000000"/>
        <rFont val="Aptos Narrow"/>
        <family val="2"/>
        <scheme val="minor"/>
      </rPr>
      <t>EC Doss' de Perf'</t>
    </r>
    <r>
      <rPr>
        <sz val="10"/>
        <color rgb="FF000000"/>
        <rFont val="Aptos Narrow"/>
        <family val="2"/>
        <scheme val="minor"/>
      </rPr>
      <t xml:space="preserve"> : individuel, écrit</t>
    </r>
  </si>
  <si>
    <r>
      <rPr>
        <b/>
        <sz val="8"/>
        <color rgb="FF000000"/>
        <rFont val="Aptos Narrow"/>
        <family val="2"/>
        <scheme val="minor"/>
      </rPr>
      <t>C11 : Gestion budgétaire du projet de communication</t>
    </r>
    <r>
      <rPr>
        <sz val="8"/>
        <color rgb="FF000000"/>
        <rFont val="Aptos Narrow"/>
        <family val="2"/>
        <scheme val="minor"/>
      </rPr>
      <t xml:space="preserve"> : 
C11.1. Estimer et suivre les coûts tout au long du cycle de vie du projet de communication, en employant des techniques de gestion budgétaire,afin de garantir sa faisabilité ainsi que sa viabilité économique
</t>
    </r>
    <r>
      <rPr>
        <b/>
        <sz val="8"/>
        <color rgb="FF000000"/>
        <rFont val="Aptos Narrow"/>
        <family val="2"/>
        <scheme val="minor"/>
      </rPr>
      <t>C12 : Mesure des actions de communication</t>
    </r>
    <r>
      <rPr>
        <sz val="8"/>
        <color rgb="FF000000"/>
        <rFont val="Aptos Narrow"/>
        <family val="2"/>
        <scheme val="minor"/>
      </rPr>
      <t xml:space="preserve"> : 
C12.1. Collecter la data marketing, via des indicateurs de performance / metrics, dans le respect de la règlementation en vigueur, en vue de générer de la donnée exploitable quantitativement et qualitativement
C12.2. Exploiter la donnée, au travers de tableaux de bord, en vue d’identifier les leviers de performance et/ou d'analyser le retour sur investissement</t>
    </r>
  </si>
  <si>
    <t>Indicateurs de Performance (Kpi's)</t>
  </si>
  <si>
    <t>C12</t>
  </si>
  <si>
    <t xml:space="preserve">Remise à niveau </t>
  </si>
  <si>
    <t>1 formateur par classe !</t>
  </si>
  <si>
    <t>RAN Fondamentaux du marketing et de la communication</t>
  </si>
  <si>
    <t>A positionner en septembre</t>
  </si>
  <si>
    <t>RAN Wordpress</t>
  </si>
  <si>
    <t>RAN Photo-Vidéo</t>
  </si>
  <si>
    <t>RAN PAO</t>
  </si>
  <si>
    <t>Compétences transversales</t>
  </si>
  <si>
    <t>Anglais</t>
  </si>
  <si>
    <t>C13</t>
  </si>
  <si>
    <r>
      <rPr>
        <b/>
        <sz val="8"/>
        <color rgb="FF000000"/>
        <rFont val="Aptos Narrow"/>
        <family val="2"/>
        <scheme val="minor"/>
      </rPr>
      <t>C13 : Amélioration continue des actions de communication</t>
    </r>
    <r>
      <rPr>
        <sz val="8"/>
        <color rgb="FF000000"/>
        <rFont val="Aptos Narrow"/>
        <family val="2"/>
        <scheme val="minor"/>
      </rPr>
      <t xml:space="preserve"> : 
C13.1. Corriger les anomalies, dans l'optique de maintenir la correspondance avec le plan d'action de communication défini
C13.2. Consolider les bonnes pratiques,en formalisant des savoir-faire et méthodes, afin d’industrialiser les pratiques et process et les inscrire dans une démarche d’amélioration continue</t>
    </r>
  </si>
  <si>
    <t>Expression Ecrite et Orale</t>
  </si>
  <si>
    <t>Méthodologie compétition</t>
  </si>
  <si>
    <t>C1 à C13</t>
  </si>
  <si>
    <t>Ateliers/MasterClass/Séminaires (OU Compet' Régionale)</t>
  </si>
  <si>
    <t>Si Compétition Régio : Piloté par les M2 (Piloplan) si existant</t>
  </si>
  <si>
    <t>Préparation EC Compet'Nat'</t>
  </si>
  <si>
    <t>Accueil en formation + Intégration</t>
  </si>
  <si>
    <t>Epreuves de certification</t>
  </si>
  <si>
    <t>EC BC1 - Oral VST (Dossier écrit + oral individuel)</t>
  </si>
  <si>
    <t>Programmé semaine 51 (14-18 déc. 2026), date flexible</t>
  </si>
  <si>
    <t>EC BC2.1 - GroKa (écrit individuel)</t>
  </si>
  <si>
    <t>Programmé le 21/05/2027 imposé</t>
  </si>
  <si>
    <t>EC BC 3 - Brief Créa (4h écrit + 10min oral - individuel)</t>
  </si>
  <si>
    <t>Programmé le 05/03/2027 imposé</t>
  </si>
  <si>
    <t>EC BC4 - Book Créatif "Intensives" (écrit individuel)</t>
  </si>
  <si>
    <t>semaine 12 (mars 2027), date flexible</t>
  </si>
  <si>
    <t>Doss' de Perf (Dossier écrit individuel)</t>
  </si>
  <si>
    <t>Semaine 25 (juin 2027), date flexible</t>
  </si>
  <si>
    <t>EC BC 2.2 - OralCompet' Nat'</t>
  </si>
  <si>
    <t>7h Inclues dans le module Compet' Nat (3-11/06/2027) imposé</t>
  </si>
  <si>
    <t>Grand final</t>
  </si>
  <si>
    <t xml:space="preserve">Transverse tous blocs - Sem. 1 de septembre 2027 </t>
  </si>
  <si>
    <t>Rattrapages</t>
  </si>
  <si>
    <t>Semaine 3  de septembre 2027</t>
  </si>
  <si>
    <t>Total Volumétrie</t>
  </si>
  <si>
    <t>Programme des 2 Semaines intensives d'option liées à un projet annonceur</t>
  </si>
  <si>
    <t>Option Communication Digitale</t>
  </si>
  <si>
    <r>
      <rPr>
        <b/>
        <sz val="10"/>
        <color theme="1"/>
        <rFont val="Aptos Narrow"/>
        <family val="2"/>
        <scheme val="minor"/>
      </rPr>
      <t xml:space="preserve">Semaine 1
Stratégie digitale
</t>
    </r>
    <r>
      <rPr>
        <sz val="10"/>
        <color theme="1"/>
        <rFont val="Aptos Narrow"/>
        <family val="2"/>
        <scheme val="minor"/>
      </rPr>
      <t xml:space="preserve">- Analyse de l'écosystème digital
- Définition des objectifs et KPIs
- Élaboration d'une stratégie de contenu multiplateforme
</t>
    </r>
    <r>
      <rPr>
        <b/>
        <sz val="10"/>
        <color theme="1"/>
        <rFont val="Aptos Narrow"/>
        <family val="2"/>
        <scheme val="minor"/>
      </rPr>
      <t>Création de contenu digital</t>
    </r>
    <r>
      <rPr>
        <sz val="10"/>
        <color theme="1"/>
        <rFont val="Aptos Narrow"/>
        <family val="2"/>
        <scheme val="minor"/>
      </rPr>
      <t xml:space="preserve">
- Techniques de storytelling adaptées aux réseaux sociaux
- Atelier de création de visuels avec Photoshop
- Production de vidéos courtes pour TikTok et Instagram Reels
</t>
    </r>
    <r>
      <rPr>
        <b/>
        <sz val="10"/>
        <color theme="1"/>
        <rFont val="Aptos Narrow"/>
        <family val="2"/>
        <scheme val="minor"/>
      </rPr>
      <t>Marketing d'influence</t>
    </r>
    <r>
      <rPr>
        <sz val="10"/>
        <color theme="1"/>
        <rFont val="Aptos Narrow"/>
        <family val="2"/>
        <scheme val="minor"/>
      </rPr>
      <t xml:space="preserve">
- Identification et approche des micro-influenceurs locaux
- Création d'une campagne d'influence </t>
    </r>
  </si>
  <si>
    <r>
      <rPr>
        <b/>
        <sz val="10"/>
        <color theme="1"/>
        <rFont val="Aptos Narrow"/>
        <family val="2"/>
        <scheme val="minor"/>
      </rPr>
      <t xml:space="preserve">Semaine 2
Community Management
</t>
    </r>
    <r>
      <rPr>
        <sz val="10"/>
        <color theme="1"/>
        <rFont val="Aptos Narrow"/>
        <family val="2"/>
        <scheme val="minor"/>
      </rPr>
      <t xml:space="preserve">- Mise en place d'un calendrier éditorial
- Techniques d'engagement et de modération
- Création d'un chatbot
</t>
    </r>
    <r>
      <rPr>
        <b/>
        <sz val="10"/>
        <color theme="1"/>
        <rFont val="Aptos Narrow"/>
        <family val="2"/>
        <scheme val="minor"/>
      </rPr>
      <t>Campagne digitale</t>
    </r>
    <r>
      <rPr>
        <sz val="10"/>
        <color theme="1"/>
        <rFont val="Aptos Narrow"/>
        <family val="2"/>
        <scheme val="minor"/>
      </rPr>
      <t xml:space="preserve">
- Configuration de campagnes Facebook Ads et Google Ads
- Optimisation du référencement local (SEO)
- Analyse des performances et ajustements en temps réel
</t>
    </r>
    <r>
      <rPr>
        <b/>
        <sz val="10"/>
        <color theme="1"/>
        <rFont val="Aptos Narrow"/>
        <family val="2"/>
        <scheme val="minor"/>
      </rPr>
      <t>Projet final</t>
    </r>
    <r>
      <rPr>
        <sz val="10"/>
        <color theme="1"/>
        <rFont val="Aptos Narrow"/>
        <family val="2"/>
        <scheme val="minor"/>
      </rPr>
      <t xml:space="preserve">
- Présentation d'une stratégie digitale complète pour le festival</t>
    </r>
  </si>
  <si>
    <t>Option Création</t>
  </si>
  <si>
    <r>
      <t xml:space="preserve"> </t>
    </r>
    <r>
      <rPr>
        <b/>
        <sz val="10"/>
        <color theme="1"/>
        <rFont val="Aptos Narrow"/>
        <family val="2"/>
        <scheme val="minor"/>
      </rPr>
      <t>Semaine 1
Identité visuelle</t>
    </r>
    <r>
      <rPr>
        <sz val="10"/>
        <color theme="1"/>
        <rFont val="Aptos Narrow"/>
        <family val="2"/>
        <scheme val="minor"/>
      </rPr>
      <t xml:space="preserve">
- Analyse des tendances graphiques dans l'événementiel
- Création d'un moodboard et d'une charte graphique
- Conception du logo et des éléments visuels clés
</t>
    </r>
    <r>
      <rPr>
        <b/>
        <sz val="10"/>
        <color theme="1"/>
        <rFont val="Aptos Narrow"/>
        <family val="2"/>
        <scheme val="minor"/>
      </rPr>
      <t>Direction artistique</t>
    </r>
    <r>
      <rPr>
        <sz val="10"/>
        <color theme="1"/>
        <rFont val="Aptos Narrow"/>
        <family val="2"/>
        <scheme val="minor"/>
      </rPr>
      <t xml:space="preserve">
- Définition du concept créatif global
- Storyboarding pour les supports visuels
</t>
    </r>
    <r>
      <rPr>
        <b/>
        <sz val="10"/>
        <color theme="1"/>
        <rFont val="Aptos Narrow"/>
        <family val="2"/>
        <scheme val="minor"/>
      </rPr>
      <t xml:space="preserve">Création de supports print
</t>
    </r>
    <r>
      <rPr>
        <sz val="10"/>
        <color theme="1"/>
        <rFont val="Aptos Narrow"/>
        <family val="2"/>
        <scheme val="minor"/>
      </rPr>
      <t>- Principes de composition et de typographie
- Atelier de création d'affiches avec Adobe Illustrator
- Conception de flyers et de programmes</t>
    </r>
  </si>
  <si>
    <r>
      <rPr>
        <b/>
        <sz val="10"/>
        <color theme="1"/>
        <rFont val="Aptos Narrow"/>
        <family val="2"/>
        <scheme val="minor"/>
      </rPr>
      <t xml:space="preserve">Semaine 2
Scénographie et expérience visuelle
</t>
    </r>
    <r>
      <rPr>
        <sz val="10"/>
        <color theme="1"/>
        <rFont val="Aptos Narrow"/>
        <family val="2"/>
        <scheme val="minor"/>
      </rPr>
      <t xml:space="preserve">- Conception d'installations artistiques
- Design d'éléments de signalétique
- Création d'une expérience immersive pour les cibles
</t>
    </r>
    <r>
      <rPr>
        <b/>
        <sz val="10"/>
        <color theme="1"/>
        <rFont val="Aptos Narrow"/>
        <family val="2"/>
        <scheme val="minor"/>
      </rPr>
      <t xml:space="preserve">Création de contenu audiovisuel
</t>
    </r>
    <r>
      <rPr>
        <sz val="10"/>
        <color theme="1"/>
        <rFont val="Aptos Narrow"/>
        <family val="2"/>
        <scheme val="minor"/>
      </rPr>
      <t xml:space="preserve">- Scénarisation d'un teaser
- Techniques de montage vidéo avec Adobe Premiere
- Création d'animations pour les réseaux sociaux
</t>
    </r>
    <r>
      <rPr>
        <b/>
        <sz val="10"/>
        <color theme="1"/>
        <rFont val="Aptos Narrow"/>
        <family val="2"/>
        <scheme val="minor"/>
      </rPr>
      <t>Projet final</t>
    </r>
    <r>
      <rPr>
        <sz val="10"/>
        <color theme="1"/>
        <rFont val="Aptos Narrow"/>
        <family val="2"/>
        <scheme val="minor"/>
      </rPr>
      <t xml:space="preserve">
- Présentation d'un concept créatif complet pour le festival</t>
    </r>
  </si>
  <si>
    <t xml:space="preserve"> Option Communication Événementielle</t>
  </si>
  <si>
    <r>
      <rPr>
        <b/>
        <sz val="10"/>
        <color theme="1"/>
        <rFont val="Aptos Narrow"/>
        <family val="2"/>
        <scheme val="minor"/>
      </rPr>
      <t xml:space="preserve"> Semaine 1</t>
    </r>
    <r>
      <rPr>
        <sz val="10"/>
        <color theme="1"/>
        <rFont val="Aptos Narrow"/>
        <family val="2"/>
        <scheme val="minor"/>
      </rPr>
      <t xml:space="preserve">
</t>
    </r>
    <r>
      <rPr>
        <b/>
        <sz val="10"/>
        <color theme="1"/>
        <rFont val="Aptos Narrow"/>
        <family val="2"/>
        <scheme val="minor"/>
      </rPr>
      <t>Planification stratégique</t>
    </r>
    <r>
      <rPr>
        <sz val="10"/>
        <color theme="1"/>
        <rFont val="Aptos Narrow"/>
        <family val="2"/>
        <scheme val="minor"/>
      </rPr>
      <t xml:space="preserve">
- Analyse SWOT et benchmarking
- Définition du concept et de la programmation
- Élaboration d'un rétroplanning et d'un budget prévisionnel
</t>
    </r>
    <r>
      <rPr>
        <b/>
        <sz val="10"/>
        <color theme="1"/>
        <rFont val="Aptos Narrow"/>
        <family val="2"/>
        <scheme val="minor"/>
      </rPr>
      <t>Sponsoring et partenariats</t>
    </r>
    <r>
      <rPr>
        <sz val="10"/>
        <color theme="1"/>
        <rFont val="Aptos Narrow"/>
        <family val="2"/>
        <scheme val="minor"/>
      </rPr>
      <t xml:space="preserve">
- Identification des sponsors potentiels
- Création de packages de sponsoring
- Techniques de négociation et de pitch
</t>
    </r>
    <r>
      <rPr>
        <b/>
        <sz val="10"/>
        <color theme="1"/>
        <rFont val="Aptos Narrow"/>
        <family val="2"/>
        <scheme val="minor"/>
      </rPr>
      <t>Logistique événementielle</t>
    </r>
    <r>
      <rPr>
        <sz val="10"/>
        <color theme="1"/>
        <rFont val="Aptos Narrow"/>
        <family val="2"/>
        <scheme val="minor"/>
      </rPr>
      <t xml:space="preserve">
- Gestion des prestataires et fournisseurs
- Planification des espaces et des flux de visiteurs
- Aspects réglementaires et sécuritaires
</t>
    </r>
  </si>
  <si>
    <r>
      <rPr>
        <b/>
        <sz val="10"/>
        <color theme="1"/>
        <rFont val="Aptos Narrow"/>
        <family val="2"/>
        <scheme val="minor"/>
      </rPr>
      <t xml:space="preserve">Semaine 2
Expérience visiteur
</t>
    </r>
    <r>
      <rPr>
        <sz val="10"/>
        <color theme="1"/>
        <rFont val="Aptos Narrow"/>
        <family val="2"/>
        <scheme val="minor"/>
      </rPr>
      <t xml:space="preserve">- Conception d'activités interactives pour les cibles
- Mise en place d'un système de billetterie et d'accréditation
- Création d'une application mobile dédiée
</t>
    </r>
    <r>
      <rPr>
        <b/>
        <sz val="10"/>
        <color theme="1"/>
        <rFont val="Aptos Narrow"/>
        <family val="2"/>
        <scheme val="minor"/>
      </rPr>
      <t>Relations presse et publiques</t>
    </r>
    <r>
      <rPr>
        <sz val="10"/>
        <color theme="1"/>
        <rFont val="Aptos Narrow"/>
        <family val="2"/>
        <scheme val="minor"/>
      </rPr>
      <t xml:space="preserve">
- Rédaction d'un dossier et d'un communiqué de presse
- Organisation d'une conférence de presse
- Gestion des relations avec les médias locaux
</t>
    </r>
    <r>
      <rPr>
        <b/>
        <sz val="10"/>
        <color theme="1"/>
        <rFont val="Aptos Narrow"/>
        <family val="2"/>
        <scheme val="minor"/>
      </rPr>
      <t>Projet final</t>
    </r>
    <r>
      <rPr>
        <sz val="10"/>
        <color theme="1"/>
        <rFont val="Aptos Narrow"/>
        <family val="2"/>
        <scheme val="minor"/>
      </rPr>
      <t xml:space="preserve">
- Présentation d'un plan d'organisation complet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</si>
</sst>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0"/>
      <color theme="0"/>
      <name val="Aptos Narrow"/>
      <family val="2"/>
      <scheme val="minor"/>
    </font>
    <font>
      <sz val="10"/>
      <color theme="1"/>
      <name val="Aptos Narrow"/>
      <family val="2"/>
      <scheme val="minor"/>
    </font>
    <font>
      <b/>
      <sz val="10"/>
      <color rgb="FF000000"/>
      <name val="Aptos Narrow"/>
      <family val="2"/>
      <scheme val="minor"/>
    </font>
    <font>
      <b/>
      <i/>
      <sz val="10"/>
      <color rgb="FF000000"/>
      <name val="Aptos Narrow"/>
      <family val="2"/>
      <scheme val="minor"/>
    </font>
    <font>
      <b/>
      <sz val="10"/>
      <color theme="1"/>
      <name val="Aptos Narrow"/>
      <family val="2"/>
      <scheme val="minor"/>
    </font>
    <font>
      <b/>
      <i/>
      <sz val="10"/>
      <color theme="0"/>
      <name val="Aptos Narrow"/>
      <family val="2"/>
      <scheme val="minor"/>
    </font>
    <font>
      <sz val="10"/>
      <color rgb="FF000000"/>
      <name val="Aptos Narrow"/>
      <family val="2"/>
      <scheme val="minor"/>
    </font>
    <font>
      <i/>
      <sz val="10"/>
      <color rgb="FF000000"/>
      <name val="Aptos Narrow"/>
      <family val="2"/>
      <scheme val="minor"/>
    </font>
    <font>
      <i/>
      <sz val="10"/>
      <color theme="1"/>
      <name val="Aptos Narrow"/>
      <family val="2"/>
      <scheme val="minor"/>
    </font>
    <font>
      <b/>
      <sz val="14"/>
      <color theme="0"/>
      <name val="Aptos Narrow"/>
      <family val="2"/>
      <scheme val="minor"/>
    </font>
    <font>
      <sz val="10"/>
      <color rgb="FF000000"/>
      <name val="Helvetica Neue"/>
      <family val="2"/>
    </font>
    <font>
      <sz val="10.5"/>
      <color rgb="FF000000"/>
      <name val="Times New Roman"/>
      <family val="1"/>
    </font>
    <font>
      <sz val="10"/>
      <name val="Aptos Narrow"/>
      <family val="2"/>
      <scheme val="minor"/>
    </font>
    <font>
      <b/>
      <sz val="12"/>
      <color theme="0"/>
      <name val="Aptos Narrow"/>
      <family val="2"/>
      <scheme val="minor"/>
    </font>
    <font>
      <sz val="10"/>
      <color theme="1"/>
      <name val="Aptos Narrow"/>
      <scheme val="minor"/>
    </font>
    <font>
      <sz val="8"/>
      <color rgb="FF000000"/>
      <name val="Aptos Narrow"/>
      <family val="2"/>
      <scheme val="minor"/>
    </font>
    <font>
      <b/>
      <sz val="8"/>
      <color rgb="FF000000"/>
      <name val="Aptos Narrow"/>
      <family val="2"/>
      <scheme val="minor"/>
    </font>
    <font>
      <i/>
      <sz val="10"/>
      <color rgb="FF000000"/>
      <name val="Helvetica Neue"/>
      <family val="2"/>
    </font>
    <font>
      <b/>
      <sz val="10"/>
      <name val="Aptos Narrow"/>
      <family val="2"/>
      <scheme val="minor"/>
    </font>
    <font>
      <sz val="8"/>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8"/>
        <bgColor indexed="64"/>
      </patternFill>
    </fill>
    <fill>
      <patternFill patternType="solid">
        <fgColor theme="0"/>
        <bgColor indexed="64"/>
      </patternFill>
    </fill>
    <fill>
      <patternFill patternType="solid">
        <fgColor theme="2"/>
        <bgColor indexed="64"/>
      </patternFill>
    </fill>
    <fill>
      <patternFill patternType="solid">
        <fgColor rgb="FFF5F5F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tint="0.499984740745262"/>
        <bgColor indexed="64"/>
      </patternFill>
    </fill>
  </fills>
  <borders count="10">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18">
    <xf numFmtId="0" fontId="0" fillId="0" borderId="0" xfId="0"/>
    <xf numFmtId="0" fontId="2" fillId="0" borderId="0" xfId="0" applyFont="1"/>
    <xf numFmtId="0" fontId="3" fillId="3" borderId="3" xfId="0" applyFont="1" applyFill="1" applyBorder="1" applyAlignment="1">
      <alignment vertical="center" wrapText="1"/>
    </xf>
    <xf numFmtId="0" fontId="4"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 fillId="4" borderId="3" xfId="0" applyFont="1" applyFill="1" applyBorder="1" applyAlignment="1">
      <alignment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2" fillId="0" borderId="3" xfId="0" applyFont="1" applyBorder="1"/>
    <xf numFmtId="0" fontId="2" fillId="0" borderId="3" xfId="0" applyFont="1" applyBorder="1" applyAlignment="1">
      <alignment wrapText="1"/>
    </xf>
    <xf numFmtId="0" fontId="7" fillId="5" borderId="3" xfId="0" applyFont="1" applyFill="1" applyBorder="1" applyAlignment="1">
      <alignment vertical="center" wrapText="1"/>
    </xf>
    <xf numFmtId="0" fontId="1" fillId="4" borderId="3" xfId="0" applyFont="1" applyFill="1" applyBorder="1"/>
    <xf numFmtId="0" fontId="1" fillId="4" borderId="4" xfId="0" applyFont="1" applyFill="1" applyBorder="1"/>
    <xf numFmtId="17" fontId="2" fillId="0" borderId="3" xfId="0" applyNumberFormat="1" applyFont="1" applyBorder="1" applyAlignment="1">
      <alignment horizontal="left"/>
    </xf>
    <xf numFmtId="0" fontId="9" fillId="5"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5" fillId="6" borderId="3" xfId="0" applyFont="1" applyFill="1" applyBorder="1" applyAlignment="1">
      <alignment vertical="center" wrapText="1"/>
    </xf>
    <xf numFmtId="0" fontId="4" fillId="6"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3" xfId="0" applyFont="1" applyFill="1" applyBorder="1"/>
    <xf numFmtId="0" fontId="9" fillId="0" borderId="0" xfId="0" applyFont="1" applyAlignment="1">
      <alignment horizontal="center"/>
    </xf>
    <xf numFmtId="0" fontId="2" fillId="0" borderId="0" xfId="0" applyFont="1" applyAlignment="1">
      <alignment horizontal="center"/>
    </xf>
    <xf numFmtId="0" fontId="11" fillId="7" borderId="3" xfId="0" applyFont="1" applyFill="1" applyBorder="1" applyAlignment="1">
      <alignment horizontal="right" vertical="center" wrapText="1"/>
    </xf>
    <xf numFmtId="0" fontId="0" fillId="0" borderId="3" xfId="0" applyBorder="1"/>
    <xf numFmtId="0" fontId="11" fillId="7" borderId="3" xfId="0" applyFont="1" applyFill="1" applyBorder="1" applyAlignment="1">
      <alignment vertical="center" wrapText="1"/>
    </xf>
    <xf numFmtId="0" fontId="11" fillId="0" borderId="3" xfId="0" applyFont="1" applyBorder="1" applyAlignment="1">
      <alignment horizontal="right" vertical="center" wrapText="1"/>
    </xf>
    <xf numFmtId="0" fontId="11" fillId="0" borderId="3" xfId="0" applyFont="1" applyBorder="1" applyAlignment="1">
      <alignment vertical="center" wrapText="1"/>
    </xf>
    <xf numFmtId="0" fontId="12" fillId="7" borderId="3" xfId="0" applyFont="1" applyFill="1" applyBorder="1" applyAlignment="1">
      <alignment horizontal="right" vertical="center" wrapText="1"/>
    </xf>
    <xf numFmtId="0" fontId="12" fillId="7" borderId="3" xfId="0" applyFont="1" applyFill="1" applyBorder="1" applyAlignment="1">
      <alignment vertical="center" wrapText="1"/>
    </xf>
    <xf numFmtId="0" fontId="0" fillId="8" borderId="0" xfId="0" applyFill="1"/>
    <xf numFmtId="0" fontId="2" fillId="5" borderId="3" xfId="0" applyFont="1" applyFill="1" applyBorder="1" applyAlignment="1">
      <alignment horizontal="center" vertical="center"/>
    </xf>
    <xf numFmtId="0" fontId="7" fillId="5" borderId="4" xfId="0" applyFont="1" applyFill="1" applyBorder="1" applyAlignment="1">
      <alignment vertical="center" wrapText="1"/>
    </xf>
    <xf numFmtId="0" fontId="7" fillId="6" borderId="3" xfId="0" applyFont="1" applyFill="1" applyBorder="1" applyAlignment="1">
      <alignment horizontal="center" vertical="center" wrapText="1"/>
    </xf>
    <xf numFmtId="0" fontId="7" fillId="6" borderId="3" xfId="0" applyFont="1" applyFill="1" applyBorder="1" applyAlignment="1">
      <alignment vertical="center" wrapText="1"/>
    </xf>
    <xf numFmtId="0" fontId="7" fillId="4" borderId="4" xfId="0" applyFont="1" applyFill="1" applyBorder="1" applyAlignment="1">
      <alignment horizontal="center" vertical="center" wrapText="1"/>
    </xf>
    <xf numFmtId="0" fontId="7" fillId="4" borderId="4" xfId="0" applyFont="1" applyFill="1" applyBorder="1" applyAlignment="1">
      <alignment vertical="center" wrapText="1"/>
    </xf>
    <xf numFmtId="0" fontId="7" fillId="4" borderId="3" xfId="0" applyFont="1" applyFill="1" applyBorder="1" applyAlignment="1">
      <alignment vertical="center" wrapText="1"/>
    </xf>
    <xf numFmtId="0" fontId="3" fillId="9" borderId="3" xfId="0" applyFont="1" applyFill="1" applyBorder="1" applyAlignment="1">
      <alignment vertical="center"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9" borderId="4" xfId="0" applyFont="1" applyFill="1" applyBorder="1" applyAlignment="1">
      <alignment vertical="center" wrapText="1"/>
    </xf>
    <xf numFmtId="0" fontId="7" fillId="7" borderId="3" xfId="0" quotePrefix="1" applyFont="1" applyFill="1" applyBorder="1" applyAlignment="1">
      <alignment vertical="center" wrapText="1"/>
    </xf>
    <xf numFmtId="0" fontId="7" fillId="7" borderId="3" xfId="0" applyFont="1" applyFill="1" applyBorder="1" applyAlignment="1">
      <alignment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vertical="center" wrapText="1"/>
    </xf>
    <xf numFmtId="0" fontId="1" fillId="4" borderId="4" xfId="0" applyFont="1" applyFill="1" applyBorder="1" applyAlignment="1">
      <alignment vertical="center" wrapText="1"/>
    </xf>
    <xf numFmtId="0" fontId="1"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4" xfId="0" applyFont="1" applyFill="1" applyBorder="1"/>
    <xf numFmtId="0" fontId="2" fillId="5" borderId="3" xfId="0" applyFont="1" applyFill="1" applyBorder="1"/>
    <xf numFmtId="0" fontId="1" fillId="10" borderId="3" xfId="0" applyFont="1" applyFill="1" applyBorder="1" applyAlignment="1">
      <alignment vertical="center" wrapText="1"/>
    </xf>
    <xf numFmtId="0" fontId="1" fillId="10"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4" xfId="0" applyFont="1" applyFill="1" applyBorder="1" applyAlignment="1">
      <alignment vertical="center" wrapText="1"/>
    </xf>
    <xf numFmtId="0" fontId="2" fillId="6" borderId="3" xfId="0" applyFont="1" applyFill="1" applyBorder="1" applyAlignment="1">
      <alignment horizontal="center" vertical="center"/>
    </xf>
    <xf numFmtId="0" fontId="7" fillId="6" borderId="4" xfId="0" applyFont="1" applyFill="1" applyBorder="1" applyAlignment="1">
      <alignment vertical="center" wrapText="1"/>
    </xf>
    <xf numFmtId="0" fontId="2" fillId="6" borderId="4" xfId="0" applyFont="1" applyFill="1" applyBorder="1"/>
    <xf numFmtId="0" fontId="2" fillId="6" borderId="3" xfId="0" applyFont="1" applyFill="1" applyBorder="1"/>
    <xf numFmtId="0" fontId="1" fillId="2" borderId="3" xfId="0" applyFont="1" applyFill="1" applyBorder="1"/>
    <xf numFmtId="0" fontId="1" fillId="2" borderId="3" xfId="0" applyFont="1" applyFill="1" applyBorder="1" applyAlignment="1">
      <alignment horizontal="center" vertical="center"/>
    </xf>
    <xf numFmtId="0" fontId="1" fillId="2" borderId="4" xfId="0" applyFont="1" applyFill="1" applyBorder="1"/>
    <xf numFmtId="0" fontId="2" fillId="0" borderId="0" xfId="0" applyFont="1" applyAlignment="1">
      <alignment horizontal="center" vertical="center"/>
    </xf>
    <xf numFmtId="0" fontId="13" fillId="5" borderId="3" xfId="0" applyFont="1" applyFill="1" applyBorder="1" applyAlignment="1">
      <alignment vertical="center" wrapText="1"/>
    </xf>
    <xf numFmtId="0" fontId="13" fillId="5" borderId="4" xfId="0" applyFont="1" applyFill="1" applyBorder="1" applyAlignment="1">
      <alignment horizontal="center" vertical="center" wrapText="1"/>
    </xf>
    <xf numFmtId="0" fontId="11" fillId="5" borderId="3" xfId="0" applyFont="1" applyFill="1" applyBorder="1" applyAlignment="1">
      <alignment vertical="center" wrapText="1"/>
    </xf>
    <xf numFmtId="0" fontId="0" fillId="5" borderId="3" xfId="0" applyFill="1" applyBorder="1"/>
    <xf numFmtId="0" fontId="11" fillId="5" borderId="3" xfId="0" applyFont="1" applyFill="1" applyBorder="1" applyAlignment="1">
      <alignment horizontal="right" vertical="center" wrapText="1"/>
    </xf>
    <xf numFmtId="0" fontId="2" fillId="5" borderId="4" xfId="0" applyFont="1" applyFill="1" applyBorder="1" applyAlignment="1">
      <alignment vertical="center" wrapText="1"/>
    </xf>
    <xf numFmtId="0" fontId="15" fillId="5" borderId="4" xfId="0" applyFont="1" applyFill="1" applyBorder="1" applyAlignment="1">
      <alignment vertical="center" wrapText="1"/>
    </xf>
    <xf numFmtId="0" fontId="2" fillId="0" borderId="0" xfId="0" applyFont="1" applyAlignment="1">
      <alignment horizontal="center" wrapText="1"/>
    </xf>
    <xf numFmtId="0" fontId="7" fillId="4" borderId="3"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0" fillId="0" borderId="9" xfId="0" applyBorder="1" applyAlignment="1">
      <alignment horizontal="center" wrapText="1"/>
    </xf>
    <xf numFmtId="0" fontId="1" fillId="4" borderId="3" xfId="0" applyFont="1" applyFill="1" applyBorder="1" applyAlignment="1">
      <alignment horizontal="center" wrapText="1"/>
    </xf>
    <xf numFmtId="0" fontId="2" fillId="5" borderId="3" xfId="0" applyFont="1" applyFill="1" applyBorder="1" applyAlignment="1">
      <alignment horizontal="center" wrapText="1"/>
    </xf>
    <xf numFmtId="0" fontId="2" fillId="6" borderId="3" xfId="0" applyFont="1" applyFill="1" applyBorder="1" applyAlignment="1">
      <alignment horizontal="center" wrapText="1"/>
    </xf>
    <xf numFmtId="0" fontId="1" fillId="2" borderId="3" xfId="0" applyFont="1" applyFill="1" applyBorder="1" applyAlignment="1">
      <alignment horizontal="center" wrapText="1"/>
    </xf>
    <xf numFmtId="0" fontId="18" fillId="7" borderId="3" xfId="0" applyFont="1" applyFill="1" applyBorder="1" applyAlignment="1">
      <alignment horizontal="left" vertical="center" wrapText="1" indent="1"/>
    </xf>
    <xf numFmtId="0" fontId="1" fillId="6" borderId="3" xfId="0" applyFont="1" applyFill="1" applyBorder="1" applyAlignment="1">
      <alignment vertical="center" wrapText="1"/>
    </xf>
    <xf numFmtId="0" fontId="2" fillId="0" borderId="3" xfId="0" applyFont="1" applyBorder="1" applyAlignment="1">
      <alignment horizontal="left" vertical="top" wrapText="1"/>
    </xf>
    <xf numFmtId="0" fontId="7" fillId="5"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16" fillId="5" borderId="5" xfId="0" quotePrefix="1" applyFont="1" applyFill="1" applyBorder="1" applyAlignment="1">
      <alignment horizontal="left" vertical="center" wrapText="1"/>
    </xf>
    <xf numFmtId="0" fontId="16" fillId="5" borderId="6" xfId="0" quotePrefix="1" applyFont="1" applyFill="1" applyBorder="1" applyAlignment="1">
      <alignment horizontal="left" vertical="center" wrapText="1"/>
    </xf>
    <xf numFmtId="0" fontId="16" fillId="5" borderId="7" xfId="0" quotePrefix="1" applyFont="1" applyFill="1" applyBorder="1" applyAlignment="1">
      <alignment horizontal="left" vertical="center" wrapText="1"/>
    </xf>
    <xf numFmtId="0" fontId="19" fillId="6" borderId="5" xfId="0" applyFont="1" applyFill="1" applyBorder="1" applyAlignment="1">
      <alignment horizontal="center" vertical="center" wrapText="1"/>
    </xf>
    <xf numFmtId="0" fontId="19" fillId="6" borderId="6"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6" fillId="5" borderId="5"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6" fillId="5" borderId="7" xfId="0" applyFont="1" applyFill="1" applyBorder="1" applyAlignment="1">
      <alignment horizontal="left" vertical="center" wrapText="1"/>
    </xf>
    <xf numFmtId="0" fontId="2" fillId="0" borderId="3" xfId="0" applyFont="1" applyBorder="1" applyAlignment="1">
      <alignment horizontal="left" vertical="top" wrapText="1"/>
    </xf>
    <xf numFmtId="0" fontId="14" fillId="2" borderId="3" xfId="0" applyFont="1" applyFill="1" applyBorder="1" applyAlignment="1">
      <alignment horizontal="center"/>
    </xf>
    <xf numFmtId="0" fontId="5" fillId="3" borderId="3" xfId="0" applyFont="1" applyFill="1" applyBorder="1" applyAlignment="1">
      <alignment horizontal="left"/>
    </xf>
    <xf numFmtId="0" fontId="2" fillId="0" borderId="3" xfId="0" applyFont="1" applyBorder="1" applyAlignment="1">
      <alignment horizontal="left" vertical="top"/>
    </xf>
    <xf numFmtId="0" fontId="5" fillId="3" borderId="3" xfId="0" applyFont="1" applyFill="1" applyBorder="1" applyAlignment="1">
      <alignment horizontal="left" wrapText="1"/>
    </xf>
    <xf numFmtId="0" fontId="16" fillId="5" borderId="5" xfId="0" applyFont="1" applyFill="1" applyBorder="1" applyAlignment="1">
      <alignment horizontal="left" vertical="center" wrapText="1" shrinkToFit="1"/>
    </xf>
    <xf numFmtId="0" fontId="16" fillId="5" borderId="6" xfId="0" applyFont="1" applyFill="1" applyBorder="1" applyAlignment="1">
      <alignment horizontal="left" vertical="center" wrapText="1" shrinkToFit="1"/>
    </xf>
    <xf numFmtId="0" fontId="20"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70FF-DDDE-4692-8398-99D7361754D8}">
  <dimension ref="A1:H43"/>
  <sheetViews>
    <sheetView topLeftCell="A21" zoomScale="140" zoomScaleNormal="140" workbookViewId="0">
      <selection activeCell="A40" sqref="A40"/>
    </sheetView>
  </sheetViews>
  <sheetFormatPr defaultColWidth="11.42578125" defaultRowHeight="13.9"/>
  <cols>
    <col min="1" max="1" width="44.85546875" style="1" customWidth="1"/>
    <col min="2" max="2" width="10.42578125" style="26" bestFit="1" customWidth="1"/>
    <col min="3" max="6" width="10.42578125" style="27" customWidth="1"/>
    <col min="7" max="7" width="12.85546875" style="1" customWidth="1"/>
    <col min="8" max="8" width="55.28515625" style="1" bestFit="1" customWidth="1"/>
    <col min="9" max="16384" width="11.42578125" style="1"/>
  </cols>
  <sheetData>
    <row r="1" spans="1:8" ht="39.6" customHeight="1">
      <c r="A1" s="87" t="s">
        <v>0</v>
      </c>
      <c r="B1" s="87"/>
      <c r="C1" s="87"/>
      <c r="D1" s="87"/>
      <c r="E1" s="87"/>
      <c r="F1" s="87"/>
      <c r="G1" s="88"/>
    </row>
    <row r="2" spans="1:8" ht="41.45">
      <c r="A2" s="2" t="s">
        <v>1</v>
      </c>
      <c r="B2" s="3" t="s">
        <v>2</v>
      </c>
      <c r="C2" s="4" t="s">
        <v>3</v>
      </c>
      <c r="D2" s="4" t="s">
        <v>4</v>
      </c>
      <c r="E2" s="4" t="s">
        <v>5</v>
      </c>
      <c r="F2" s="5" t="s">
        <v>6</v>
      </c>
      <c r="G2" s="6" t="s">
        <v>7</v>
      </c>
      <c r="H2" s="6" t="s">
        <v>8</v>
      </c>
    </row>
    <row r="3" spans="1:8">
      <c r="A3" s="7" t="s">
        <v>9</v>
      </c>
      <c r="B3" s="9">
        <f>SUM(B4:B14)</f>
        <v>202</v>
      </c>
      <c r="C3" s="9">
        <f>SUM(C4:C14)</f>
        <v>183</v>
      </c>
      <c r="D3" s="9">
        <f>SUM(D4:D14)</f>
        <v>183</v>
      </c>
      <c r="E3" s="9"/>
      <c r="F3" s="10"/>
      <c r="G3" s="9"/>
      <c r="H3" s="9"/>
    </row>
    <row r="4" spans="1:8">
      <c r="A4" s="70" t="s">
        <v>10</v>
      </c>
      <c r="B4" s="11">
        <v>35</v>
      </c>
      <c r="C4" s="12">
        <v>30</v>
      </c>
      <c r="D4" s="12">
        <v>30</v>
      </c>
      <c r="E4" s="12">
        <f t="shared" ref="E4:E25" si="0">C4/3</f>
        <v>10</v>
      </c>
      <c r="F4" s="12" t="s">
        <v>11</v>
      </c>
      <c r="G4" s="13"/>
      <c r="H4" s="13" t="s">
        <v>12</v>
      </c>
    </row>
    <row r="5" spans="1:8">
      <c r="A5" s="70" t="s">
        <v>13</v>
      </c>
      <c r="B5" s="11">
        <v>18</v>
      </c>
      <c r="C5" s="12">
        <v>15</v>
      </c>
      <c r="D5" s="12">
        <v>15</v>
      </c>
      <c r="E5" s="12">
        <f>C5/3</f>
        <v>5</v>
      </c>
      <c r="F5" s="12" t="s">
        <v>14</v>
      </c>
      <c r="G5" s="13"/>
      <c r="H5" s="13" t="s">
        <v>12</v>
      </c>
    </row>
    <row r="6" spans="1:8">
      <c r="A6" s="70" t="s">
        <v>15</v>
      </c>
      <c r="B6" s="11">
        <v>12</v>
      </c>
      <c r="C6" s="12">
        <v>12</v>
      </c>
      <c r="D6" s="12">
        <v>12</v>
      </c>
      <c r="E6" s="12">
        <f>C6/3</f>
        <v>4</v>
      </c>
      <c r="F6" s="12" t="s">
        <v>16</v>
      </c>
      <c r="G6" s="13"/>
      <c r="H6" s="13"/>
    </row>
    <row r="7" spans="1:8">
      <c r="A7" s="70" t="s">
        <v>17</v>
      </c>
      <c r="B7" s="11">
        <v>9</v>
      </c>
      <c r="C7" s="12">
        <v>9</v>
      </c>
      <c r="D7" s="12">
        <v>9</v>
      </c>
      <c r="E7" s="12">
        <f>C7/3</f>
        <v>3</v>
      </c>
      <c r="F7" s="12" t="s">
        <v>18</v>
      </c>
      <c r="G7" s="13"/>
      <c r="H7" s="14" t="s">
        <v>19</v>
      </c>
    </row>
    <row r="8" spans="1:8">
      <c r="A8" s="70" t="s">
        <v>20</v>
      </c>
      <c r="B8" s="11">
        <v>9</v>
      </c>
      <c r="C8" s="12">
        <v>9</v>
      </c>
      <c r="D8" s="12">
        <v>9</v>
      </c>
      <c r="E8" s="12">
        <f>C8/3</f>
        <v>3</v>
      </c>
      <c r="F8" s="12" t="s">
        <v>11</v>
      </c>
      <c r="G8" s="13"/>
      <c r="H8" s="55" t="s">
        <v>12</v>
      </c>
    </row>
    <row r="9" spans="1:8" ht="26.45">
      <c r="A9" s="70" t="s">
        <v>21</v>
      </c>
      <c r="B9" s="11">
        <v>28</v>
      </c>
      <c r="C9" s="12">
        <v>24</v>
      </c>
      <c r="D9" s="12">
        <v>24</v>
      </c>
      <c r="E9" s="12">
        <f t="shared" si="0"/>
        <v>8</v>
      </c>
      <c r="F9" s="12" t="s">
        <v>16</v>
      </c>
      <c r="G9" s="13"/>
      <c r="H9" s="13" t="s">
        <v>22</v>
      </c>
    </row>
    <row r="10" spans="1:8">
      <c r="A10" s="70" t="s">
        <v>23</v>
      </c>
      <c r="B10" s="11">
        <v>21</v>
      </c>
      <c r="C10" s="12">
        <v>21</v>
      </c>
      <c r="D10" s="12">
        <v>21</v>
      </c>
      <c r="E10" s="12">
        <f>C10/3</f>
        <v>7</v>
      </c>
      <c r="F10" s="12" t="s">
        <v>16</v>
      </c>
      <c r="G10" s="13"/>
      <c r="H10" s="13"/>
    </row>
    <row r="11" spans="1:8">
      <c r="A11" s="70" t="s">
        <v>24</v>
      </c>
      <c r="B11" s="11">
        <v>21</v>
      </c>
      <c r="C11" s="12">
        <v>21</v>
      </c>
      <c r="D11" s="12">
        <v>21</v>
      </c>
      <c r="E11" s="12">
        <f>C11/3</f>
        <v>7</v>
      </c>
      <c r="F11" s="12" t="s">
        <v>18</v>
      </c>
      <c r="G11" s="13"/>
      <c r="H11" s="13"/>
    </row>
    <row r="12" spans="1:8">
      <c r="A12" s="70" t="s">
        <v>25</v>
      </c>
      <c r="B12" s="11">
        <v>21</v>
      </c>
      <c r="C12" s="12">
        <v>18</v>
      </c>
      <c r="D12" s="12">
        <v>18</v>
      </c>
      <c r="E12" s="12">
        <f>C12/3</f>
        <v>6</v>
      </c>
      <c r="F12" s="12" t="s">
        <v>16</v>
      </c>
      <c r="G12" s="13"/>
      <c r="H12" s="13"/>
    </row>
    <row r="13" spans="1:8">
      <c r="A13" s="70" t="s">
        <v>26</v>
      </c>
      <c r="B13" s="11">
        <v>14</v>
      </c>
      <c r="C13" s="12">
        <v>15</v>
      </c>
      <c r="D13" s="12">
        <v>15</v>
      </c>
      <c r="E13" s="12">
        <f>C13/3</f>
        <v>5</v>
      </c>
      <c r="F13" s="12" t="s">
        <v>16</v>
      </c>
      <c r="G13" s="13"/>
      <c r="H13" s="13"/>
    </row>
    <row r="14" spans="1:8">
      <c r="A14" s="70" t="s">
        <v>27</v>
      </c>
      <c r="B14" s="11">
        <v>14</v>
      </c>
      <c r="C14" s="12">
        <v>9</v>
      </c>
      <c r="D14" s="12">
        <v>9</v>
      </c>
      <c r="E14" s="12">
        <f>C14/3</f>
        <v>3</v>
      </c>
      <c r="F14" s="12" t="s">
        <v>18</v>
      </c>
      <c r="G14" s="13"/>
      <c r="H14" s="13"/>
    </row>
    <row r="15" spans="1:8">
      <c r="A15" s="7" t="s">
        <v>28</v>
      </c>
      <c r="B15" s="8">
        <f>SUM(B16:B28)</f>
        <v>311</v>
      </c>
      <c r="C15" s="8">
        <f t="shared" ref="C15:D15" si="1">SUM(C16:C28)</f>
        <v>303</v>
      </c>
      <c r="D15" s="8">
        <f t="shared" si="1"/>
        <v>285</v>
      </c>
      <c r="E15" s="9"/>
      <c r="F15" s="10"/>
      <c r="G15" s="9"/>
      <c r="H15" s="9"/>
    </row>
    <row r="16" spans="1:8">
      <c r="A16" s="70" t="s">
        <v>29</v>
      </c>
      <c r="B16" s="11">
        <v>49</v>
      </c>
      <c r="C16" s="12">
        <v>42</v>
      </c>
      <c r="D16" s="12">
        <v>39</v>
      </c>
      <c r="E16" s="12">
        <f>C16/3</f>
        <v>14</v>
      </c>
      <c r="F16" s="12" t="s">
        <v>11</v>
      </c>
      <c r="G16" s="13"/>
      <c r="H16" s="13" t="s">
        <v>30</v>
      </c>
    </row>
    <row r="17" spans="1:8">
      <c r="A17" s="70" t="s">
        <v>31</v>
      </c>
      <c r="B17" s="11">
        <v>49</v>
      </c>
      <c r="C17" s="12">
        <v>42</v>
      </c>
      <c r="D17" s="12">
        <v>39</v>
      </c>
      <c r="E17" s="12">
        <f t="shared" si="0"/>
        <v>14</v>
      </c>
      <c r="F17" s="12" t="s">
        <v>11</v>
      </c>
      <c r="G17" s="13"/>
      <c r="H17" s="13" t="s">
        <v>30</v>
      </c>
    </row>
    <row r="18" spans="1:8">
      <c r="A18" s="70" t="s">
        <v>32</v>
      </c>
      <c r="B18" s="11"/>
      <c r="C18" s="12">
        <v>21</v>
      </c>
      <c r="D18" s="12">
        <v>21</v>
      </c>
      <c r="E18" s="12">
        <f t="shared" si="0"/>
        <v>7</v>
      </c>
      <c r="F18" s="12"/>
      <c r="G18" s="13"/>
      <c r="H18" s="13"/>
    </row>
    <row r="19" spans="1:8">
      <c r="A19" s="70" t="s">
        <v>33</v>
      </c>
      <c r="B19" s="11">
        <v>35</v>
      </c>
      <c r="C19" s="12">
        <v>33</v>
      </c>
      <c r="D19" s="12">
        <v>30</v>
      </c>
      <c r="E19" s="12">
        <f t="shared" si="0"/>
        <v>11</v>
      </c>
      <c r="F19" s="12" t="s">
        <v>11</v>
      </c>
      <c r="G19" s="13"/>
      <c r="H19" s="13" t="s">
        <v>30</v>
      </c>
    </row>
    <row r="20" spans="1:8">
      <c r="A20" s="70" t="s">
        <v>34</v>
      </c>
      <c r="B20" s="11">
        <v>28</v>
      </c>
      <c r="C20" s="12">
        <v>12</v>
      </c>
      <c r="D20" s="12">
        <v>12</v>
      </c>
      <c r="E20" s="12">
        <f>C20/3</f>
        <v>4</v>
      </c>
      <c r="F20" s="12" t="s">
        <v>16</v>
      </c>
      <c r="G20" s="13"/>
      <c r="H20" s="13"/>
    </row>
    <row r="21" spans="1:8">
      <c r="A21" s="70" t="s">
        <v>35</v>
      </c>
      <c r="B21" s="11">
        <v>24</v>
      </c>
      <c r="C21" s="12">
        <v>21</v>
      </c>
      <c r="D21" s="12">
        <v>21</v>
      </c>
      <c r="E21" s="12">
        <f t="shared" si="0"/>
        <v>7</v>
      </c>
      <c r="F21" s="12" t="s">
        <v>11</v>
      </c>
      <c r="G21" s="13"/>
      <c r="H21" s="13" t="s">
        <v>36</v>
      </c>
    </row>
    <row r="22" spans="1:8">
      <c r="A22" s="70" t="s">
        <v>37</v>
      </c>
      <c r="B22" s="11">
        <v>21</v>
      </c>
      <c r="C22" s="12">
        <v>18</v>
      </c>
      <c r="D22" s="12">
        <v>18</v>
      </c>
      <c r="E22" s="12">
        <f>C22/3</f>
        <v>6</v>
      </c>
      <c r="F22" s="12" t="s">
        <v>16</v>
      </c>
      <c r="G22" s="13"/>
      <c r="H22" s="55" t="s">
        <v>12</v>
      </c>
    </row>
    <row r="23" spans="1:8">
      <c r="A23" s="70" t="s">
        <v>38</v>
      </c>
      <c r="B23" s="11">
        <v>42</v>
      </c>
      <c r="C23" s="12">
        <v>36</v>
      </c>
      <c r="D23" s="12">
        <v>33</v>
      </c>
      <c r="E23" s="12">
        <f t="shared" si="0"/>
        <v>12</v>
      </c>
      <c r="F23" s="12" t="s">
        <v>11</v>
      </c>
      <c r="G23" s="13"/>
      <c r="H23" s="13" t="s">
        <v>39</v>
      </c>
    </row>
    <row r="24" spans="1:8">
      <c r="A24" s="70" t="s">
        <v>40</v>
      </c>
      <c r="B24" s="11"/>
      <c r="C24" s="12">
        <v>18</v>
      </c>
      <c r="D24" s="12">
        <v>15</v>
      </c>
      <c r="E24" s="12">
        <f>C24/3</f>
        <v>6</v>
      </c>
      <c r="F24" s="12" t="s">
        <v>14</v>
      </c>
      <c r="G24" s="13"/>
      <c r="H24" s="55" t="s">
        <v>12</v>
      </c>
    </row>
    <row r="25" spans="1:8">
      <c r="A25" s="70" t="s">
        <v>41</v>
      </c>
      <c r="B25" s="11">
        <v>14</v>
      </c>
      <c r="C25" s="12">
        <v>21</v>
      </c>
      <c r="D25" s="12">
        <v>18</v>
      </c>
      <c r="E25" s="12">
        <f t="shared" si="0"/>
        <v>7</v>
      </c>
      <c r="F25" s="12" t="s">
        <v>16</v>
      </c>
      <c r="G25" s="13"/>
      <c r="H25" s="13"/>
    </row>
    <row r="26" spans="1:8" ht="14.1" customHeight="1">
      <c r="A26" s="70" t="s">
        <v>42</v>
      </c>
      <c r="B26" s="11">
        <v>21</v>
      </c>
      <c r="C26" s="12">
        <v>15</v>
      </c>
      <c r="D26" s="12">
        <v>15</v>
      </c>
      <c r="E26" s="12">
        <f>C26/3</f>
        <v>5</v>
      </c>
      <c r="F26" s="12" t="s">
        <v>16</v>
      </c>
      <c r="G26" s="13"/>
      <c r="H26" s="55" t="s">
        <v>12</v>
      </c>
    </row>
    <row r="27" spans="1:8">
      <c r="A27" s="70" t="s">
        <v>43</v>
      </c>
      <c r="B27" s="11">
        <v>14</v>
      </c>
      <c r="C27" s="12">
        <v>12</v>
      </c>
      <c r="D27" s="12">
        <v>12</v>
      </c>
      <c r="E27" s="12">
        <f>C27/3</f>
        <v>4</v>
      </c>
      <c r="F27" s="12" t="s">
        <v>18</v>
      </c>
      <c r="G27" s="13"/>
      <c r="H27" s="13"/>
    </row>
    <row r="28" spans="1:8">
      <c r="A28" s="70" t="s">
        <v>44</v>
      </c>
      <c r="B28" s="11">
        <v>14</v>
      </c>
      <c r="C28" s="12">
        <v>12</v>
      </c>
      <c r="D28" s="12">
        <v>12</v>
      </c>
      <c r="E28" s="12">
        <f>C28/3</f>
        <v>4</v>
      </c>
      <c r="F28" s="12" t="s">
        <v>18</v>
      </c>
      <c r="G28" s="13"/>
      <c r="H28" s="13" t="s">
        <v>45</v>
      </c>
    </row>
    <row r="29" spans="1:8">
      <c r="A29" s="7" t="s">
        <v>46</v>
      </c>
      <c r="B29" s="9">
        <f>SUM(B30:B32)</f>
        <v>0</v>
      </c>
      <c r="C29" s="9">
        <f>SUM(C30:C32)</f>
        <v>52.5</v>
      </c>
      <c r="D29" s="9">
        <f>SUM(D30:D32)</f>
        <v>40.5</v>
      </c>
      <c r="E29" s="16"/>
      <c r="F29" s="17"/>
      <c r="G29" s="16"/>
      <c r="H29" s="16"/>
    </row>
    <row r="30" spans="1:8" ht="14.45" customHeight="1">
      <c r="A30" s="70" t="s">
        <v>47</v>
      </c>
      <c r="B30" s="11"/>
      <c r="C30" s="12">
        <v>12</v>
      </c>
      <c r="D30" s="12">
        <v>12</v>
      </c>
      <c r="E30" s="12">
        <f>C30/3</f>
        <v>4</v>
      </c>
      <c r="F30" s="12" t="s">
        <v>18</v>
      </c>
      <c r="G30" s="13"/>
      <c r="H30" s="55" t="s">
        <v>12</v>
      </c>
    </row>
    <row r="31" spans="1:8">
      <c r="A31" s="70" t="s">
        <v>48</v>
      </c>
      <c r="B31" s="11"/>
      <c r="C31" s="12">
        <v>10.5</v>
      </c>
      <c r="D31" s="12">
        <v>10.5</v>
      </c>
      <c r="E31" s="12">
        <f>C31/3.5</f>
        <v>3</v>
      </c>
      <c r="F31" s="12" t="s">
        <v>16</v>
      </c>
      <c r="G31" s="13"/>
      <c r="H31" s="55" t="s">
        <v>12</v>
      </c>
    </row>
    <row r="32" spans="1:8">
      <c r="A32" s="70" t="s">
        <v>49</v>
      </c>
      <c r="B32" s="11"/>
      <c r="C32" s="12">
        <v>30</v>
      </c>
      <c r="D32" s="12">
        <v>18</v>
      </c>
      <c r="E32" s="12">
        <f>C32/3.5</f>
        <v>8.5714285714285712</v>
      </c>
      <c r="F32" s="12" t="s">
        <v>16</v>
      </c>
      <c r="G32" s="13"/>
      <c r="H32" s="18"/>
    </row>
    <row r="33" spans="1:8">
      <c r="A33" s="7" t="s">
        <v>50</v>
      </c>
      <c r="B33" s="9">
        <f>SUM(B34:B39)</f>
        <v>0</v>
      </c>
      <c r="C33" s="9">
        <f>SUM(C34:C39)</f>
        <v>41.5</v>
      </c>
      <c r="D33" s="9">
        <f>SUM(D34:D39)</f>
        <v>7.5</v>
      </c>
      <c r="E33" s="16"/>
      <c r="F33" s="17"/>
      <c r="G33" s="16"/>
      <c r="H33" s="16"/>
    </row>
    <row r="34" spans="1:8">
      <c r="A34" s="32" t="s">
        <v>51</v>
      </c>
      <c r="B34" s="11"/>
      <c r="C34" s="12">
        <v>3</v>
      </c>
      <c r="D34" s="12"/>
      <c r="E34" s="12">
        <f>C34/3</f>
        <v>1</v>
      </c>
      <c r="F34" s="12" t="s">
        <v>18</v>
      </c>
      <c r="G34" s="13"/>
      <c r="H34" s="13" t="s">
        <v>52</v>
      </c>
    </row>
    <row r="35" spans="1:8">
      <c r="A35" s="32" t="s">
        <v>53</v>
      </c>
      <c r="B35" s="11"/>
      <c r="C35" s="12">
        <v>3</v>
      </c>
      <c r="D35" s="12"/>
      <c r="E35" s="12">
        <f>C35/3</f>
        <v>1</v>
      </c>
      <c r="F35" s="12" t="s">
        <v>18</v>
      </c>
      <c r="G35" s="13"/>
      <c r="H35" s="13" t="s">
        <v>52</v>
      </c>
    </row>
    <row r="36" spans="1:8">
      <c r="A36" s="32" t="s">
        <v>54</v>
      </c>
      <c r="B36" s="11"/>
      <c r="C36" s="12">
        <v>0</v>
      </c>
      <c r="D36" s="12"/>
      <c r="E36" s="12">
        <f>C36/3</f>
        <v>0</v>
      </c>
      <c r="F36" s="12" t="s">
        <v>16</v>
      </c>
      <c r="G36" s="13"/>
      <c r="H36" s="13" t="s">
        <v>52</v>
      </c>
    </row>
    <row r="37" spans="1:8">
      <c r="A37" s="32" t="s">
        <v>55</v>
      </c>
      <c r="B37" s="11"/>
      <c r="C37" s="12">
        <v>28</v>
      </c>
      <c r="D37" s="12"/>
      <c r="E37" s="12">
        <f>C37/3.5</f>
        <v>8</v>
      </c>
      <c r="F37" s="12" t="s">
        <v>16</v>
      </c>
      <c r="G37" s="13"/>
      <c r="H37" s="13" t="s">
        <v>52</v>
      </c>
    </row>
    <row r="38" spans="1:8">
      <c r="A38" s="32" t="s">
        <v>56</v>
      </c>
      <c r="B38" s="19"/>
      <c r="C38" s="20">
        <v>4.5</v>
      </c>
      <c r="D38" s="20">
        <v>4.5</v>
      </c>
      <c r="E38" s="20">
        <f>C38/4</f>
        <v>1.125</v>
      </c>
      <c r="F38" s="20" t="s">
        <v>18</v>
      </c>
      <c r="G38" s="13"/>
      <c r="H38" s="13" t="s">
        <v>57</v>
      </c>
    </row>
    <row r="39" spans="1:8">
      <c r="A39" s="32" t="s">
        <v>58</v>
      </c>
      <c r="B39" s="19"/>
      <c r="C39" s="20">
        <v>3</v>
      </c>
      <c r="D39" s="20">
        <v>3</v>
      </c>
      <c r="E39" s="20"/>
      <c r="F39" s="20"/>
      <c r="G39" s="13"/>
      <c r="H39" s="13" t="s">
        <v>59</v>
      </c>
    </row>
    <row r="40" spans="1:8">
      <c r="A40" s="21" t="s">
        <v>60</v>
      </c>
      <c r="B40" s="22">
        <f>SUM(B3,B15,B29,B33)</f>
        <v>513</v>
      </c>
      <c r="C40" s="22">
        <f>SUM(C3,C15,C29,C33)</f>
        <v>580</v>
      </c>
      <c r="D40" s="22">
        <f>SUM(D3,D15,D29,D33)</f>
        <v>516</v>
      </c>
      <c r="E40" s="23"/>
      <c r="F40" s="24"/>
      <c r="G40" s="25"/>
      <c r="H40" s="25"/>
    </row>
    <row r="42" spans="1:8" ht="14.45">
      <c r="A42" t="s">
        <v>61</v>
      </c>
      <c r="B42">
        <v>580</v>
      </c>
    </row>
    <row r="43" spans="1:8" ht="14.45">
      <c r="A43" t="s">
        <v>62</v>
      </c>
      <c r="B43">
        <v>516</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ADD8-840B-4BA9-B334-D389ABB92580}">
  <dimension ref="A1:H39"/>
  <sheetViews>
    <sheetView topLeftCell="A11" zoomScale="120" zoomScaleNormal="120" workbookViewId="0">
      <selection activeCell="C3" sqref="C3"/>
    </sheetView>
  </sheetViews>
  <sheetFormatPr defaultColWidth="11.42578125" defaultRowHeight="14.45"/>
  <cols>
    <col min="1" max="1" width="41.42578125" customWidth="1"/>
    <col min="7" max="7" width="51.28515625" bestFit="1" customWidth="1"/>
    <col min="8" max="8" width="46.140625" bestFit="1" customWidth="1"/>
  </cols>
  <sheetData>
    <row r="1" spans="1:8" ht="40.700000000000003" customHeight="1">
      <c r="A1" s="89" t="s">
        <v>63</v>
      </c>
      <c r="B1" s="89"/>
      <c r="C1" s="89"/>
      <c r="D1" s="89"/>
      <c r="E1" s="89"/>
      <c r="F1" s="89"/>
      <c r="G1" s="90"/>
    </row>
    <row r="2" spans="1:8" ht="41.45">
      <c r="A2" s="2" t="s">
        <v>1</v>
      </c>
      <c r="B2" s="4" t="s">
        <v>2</v>
      </c>
      <c r="C2" s="4" t="s">
        <v>3</v>
      </c>
      <c r="D2" s="4" t="s">
        <v>4</v>
      </c>
      <c r="E2" s="4" t="s">
        <v>5</v>
      </c>
      <c r="F2" s="5" t="s">
        <v>6</v>
      </c>
      <c r="G2" s="6" t="s">
        <v>7</v>
      </c>
      <c r="H2" s="6" t="s">
        <v>8</v>
      </c>
    </row>
    <row r="3" spans="1:8">
      <c r="A3" s="7" t="s">
        <v>9</v>
      </c>
      <c r="B3" s="8">
        <f>SUM(B4:B11)</f>
        <v>107</v>
      </c>
      <c r="C3" s="8">
        <f t="shared" ref="C3:D3" si="0">SUM(C4:C11)</f>
        <v>133</v>
      </c>
      <c r="D3" s="8">
        <f t="shared" si="0"/>
        <v>122.5</v>
      </c>
      <c r="E3" s="9"/>
      <c r="F3" s="10"/>
      <c r="G3" s="9"/>
      <c r="H3" s="9"/>
    </row>
    <row r="4" spans="1:8">
      <c r="A4" s="70" t="s">
        <v>10</v>
      </c>
      <c r="B4" s="28">
        <v>21</v>
      </c>
      <c r="C4" s="29">
        <v>31.5</v>
      </c>
      <c r="D4" s="29">
        <v>28</v>
      </c>
      <c r="E4" s="29"/>
      <c r="F4" s="30" t="s">
        <v>64</v>
      </c>
      <c r="G4" s="29" t="s">
        <v>65</v>
      </c>
      <c r="H4" s="29"/>
    </row>
    <row r="5" spans="1:8">
      <c r="A5" s="70" t="s">
        <v>66</v>
      </c>
      <c r="B5" s="28">
        <v>7</v>
      </c>
      <c r="C5" s="29">
        <v>10.5</v>
      </c>
      <c r="D5" s="29">
        <v>10.5</v>
      </c>
      <c r="E5" s="29"/>
      <c r="F5" s="30" t="s">
        <v>16</v>
      </c>
      <c r="G5" s="29"/>
      <c r="H5" s="29"/>
    </row>
    <row r="6" spans="1:8">
      <c r="A6" s="70" t="s">
        <v>67</v>
      </c>
      <c r="B6" s="28">
        <v>7</v>
      </c>
      <c r="C6" s="29">
        <v>10.5</v>
      </c>
      <c r="D6" s="29">
        <v>10.5</v>
      </c>
      <c r="E6" s="29"/>
      <c r="F6" s="30" t="s">
        <v>16</v>
      </c>
      <c r="G6" s="29"/>
      <c r="H6" s="29" t="s">
        <v>68</v>
      </c>
    </row>
    <row r="7" spans="1:8" ht="24.95" customHeight="1">
      <c r="A7" s="70" t="s">
        <v>21</v>
      </c>
      <c r="B7" s="72"/>
      <c r="C7" s="29">
        <v>17.5</v>
      </c>
      <c r="D7" s="29">
        <v>17.5</v>
      </c>
      <c r="E7" s="29"/>
      <c r="F7" s="30" t="s">
        <v>14</v>
      </c>
      <c r="G7" s="71" t="s">
        <v>69</v>
      </c>
      <c r="H7" s="29"/>
    </row>
    <row r="8" spans="1:8">
      <c r="A8" s="70" t="s">
        <v>70</v>
      </c>
      <c r="B8" s="31">
        <v>24</v>
      </c>
      <c r="C8" s="29">
        <v>24.5</v>
      </c>
      <c r="D8" s="29">
        <v>21</v>
      </c>
      <c r="E8" s="29"/>
      <c r="F8" s="32" t="s">
        <v>18</v>
      </c>
      <c r="G8" s="29"/>
      <c r="H8" s="29"/>
    </row>
    <row r="9" spans="1:8">
      <c r="A9" s="70" t="s">
        <v>25</v>
      </c>
      <c r="B9" s="31">
        <v>12</v>
      </c>
      <c r="C9" s="29">
        <v>14</v>
      </c>
      <c r="D9" s="29">
        <v>10.5</v>
      </c>
      <c r="E9" s="29"/>
      <c r="F9" s="32" t="s">
        <v>18</v>
      </c>
      <c r="G9" s="29" t="s">
        <v>65</v>
      </c>
      <c r="H9" s="29" t="s">
        <v>71</v>
      </c>
    </row>
    <row r="10" spans="1:8">
      <c r="A10" s="70" t="s">
        <v>72</v>
      </c>
      <c r="B10" s="28">
        <v>24</v>
      </c>
      <c r="C10" s="29">
        <v>14</v>
      </c>
      <c r="D10" s="29">
        <v>14</v>
      </c>
      <c r="E10" s="29"/>
      <c r="F10" s="30" t="s">
        <v>64</v>
      </c>
      <c r="G10" s="29" t="s">
        <v>65</v>
      </c>
      <c r="H10" s="29"/>
    </row>
    <row r="11" spans="1:8">
      <c r="A11" s="70" t="s">
        <v>73</v>
      </c>
      <c r="B11" s="31">
        <v>12</v>
      </c>
      <c r="C11" s="29">
        <v>10.5</v>
      </c>
      <c r="D11" s="29">
        <v>10.5</v>
      </c>
      <c r="E11" s="29"/>
      <c r="F11" s="32" t="s">
        <v>18</v>
      </c>
      <c r="G11" s="55"/>
      <c r="H11" s="29" t="s">
        <v>68</v>
      </c>
    </row>
    <row r="12" spans="1:8">
      <c r="A12" s="7" t="s">
        <v>74</v>
      </c>
      <c r="B12" s="8">
        <f>SUM(B13:B33)</f>
        <v>344</v>
      </c>
      <c r="C12" s="8">
        <f>SUM(C13:C33)</f>
        <v>378</v>
      </c>
      <c r="D12" s="8">
        <f>SUM(D13:D33)</f>
        <v>367.5</v>
      </c>
      <c r="E12" s="9"/>
      <c r="F12" s="10"/>
      <c r="G12" s="9"/>
      <c r="H12" s="9"/>
    </row>
    <row r="13" spans="1:8">
      <c r="A13" s="70" t="s">
        <v>75</v>
      </c>
      <c r="B13" s="31">
        <v>42</v>
      </c>
      <c r="C13" s="29">
        <v>42</v>
      </c>
      <c r="D13" s="29">
        <v>38.5</v>
      </c>
      <c r="E13" s="29"/>
      <c r="F13" s="32" t="s">
        <v>64</v>
      </c>
      <c r="G13" s="29" t="s">
        <v>65</v>
      </c>
      <c r="H13" s="29"/>
    </row>
    <row r="14" spans="1:8">
      <c r="A14" s="70" t="s">
        <v>31</v>
      </c>
      <c r="B14" s="33">
        <v>28</v>
      </c>
      <c r="C14" s="29">
        <v>24.5</v>
      </c>
      <c r="D14" s="29">
        <v>24.5</v>
      </c>
      <c r="E14" s="29"/>
      <c r="F14" s="34" t="s">
        <v>64</v>
      </c>
      <c r="G14" s="29"/>
      <c r="H14" s="29"/>
    </row>
    <row r="15" spans="1:8">
      <c r="A15" s="70" t="s">
        <v>32</v>
      </c>
      <c r="B15" s="28"/>
      <c r="C15" s="29">
        <v>21</v>
      </c>
      <c r="D15" s="29">
        <v>21</v>
      </c>
      <c r="E15" s="29"/>
      <c r="F15" s="30" t="s">
        <v>14</v>
      </c>
      <c r="G15" s="29"/>
      <c r="H15" s="29"/>
    </row>
    <row r="16" spans="1:8">
      <c r="A16" s="70" t="s">
        <v>76</v>
      </c>
      <c r="B16" s="28">
        <v>14</v>
      </c>
      <c r="C16" s="29">
        <v>14</v>
      </c>
      <c r="D16" s="29">
        <v>14</v>
      </c>
      <c r="E16" s="29"/>
      <c r="F16" s="30" t="s">
        <v>18</v>
      </c>
      <c r="G16" s="71"/>
      <c r="H16" s="29"/>
    </row>
    <row r="17" spans="1:8">
      <c r="A17" s="70" t="s">
        <v>77</v>
      </c>
      <c r="B17" s="31">
        <v>14</v>
      </c>
      <c r="C17" s="29">
        <v>14</v>
      </c>
      <c r="D17" s="29">
        <v>14</v>
      </c>
      <c r="E17" s="29"/>
      <c r="F17" s="32" t="s">
        <v>16</v>
      </c>
      <c r="G17" s="71"/>
      <c r="H17" s="29"/>
    </row>
    <row r="18" spans="1:8">
      <c r="A18" s="70" t="s">
        <v>78</v>
      </c>
      <c r="B18" s="28">
        <v>24</v>
      </c>
      <c r="C18" s="29">
        <v>21</v>
      </c>
      <c r="D18" s="29">
        <v>21</v>
      </c>
      <c r="E18" s="29"/>
      <c r="F18" s="30" t="s">
        <v>16</v>
      </c>
      <c r="G18" s="55" t="s">
        <v>12</v>
      </c>
      <c r="H18" s="29" t="s">
        <v>68</v>
      </c>
    </row>
    <row r="19" spans="1:8">
      <c r="A19" s="70" t="s">
        <v>79</v>
      </c>
      <c r="B19" s="28">
        <v>35</v>
      </c>
      <c r="C19" s="29">
        <v>35</v>
      </c>
      <c r="D19" s="29">
        <v>31.5</v>
      </c>
      <c r="E19" s="29"/>
      <c r="F19" s="30" t="s">
        <v>18</v>
      </c>
      <c r="G19" s="71" t="s">
        <v>65</v>
      </c>
      <c r="H19" s="29"/>
    </row>
    <row r="20" spans="1:8">
      <c r="A20" s="70" t="s">
        <v>80</v>
      </c>
      <c r="B20" s="28">
        <v>21</v>
      </c>
      <c r="C20" s="29">
        <v>21</v>
      </c>
      <c r="D20" s="29">
        <v>21</v>
      </c>
      <c r="E20" s="29"/>
      <c r="F20" s="30" t="s">
        <v>16</v>
      </c>
      <c r="G20" s="55" t="s">
        <v>12</v>
      </c>
      <c r="H20" s="29" t="s">
        <v>81</v>
      </c>
    </row>
    <row r="21" spans="1:8">
      <c r="A21" s="70" t="s">
        <v>82</v>
      </c>
      <c r="B21" s="28">
        <v>14</v>
      </c>
      <c r="C21" s="29">
        <v>14</v>
      </c>
      <c r="D21" s="29">
        <v>14</v>
      </c>
      <c r="E21" s="29"/>
      <c r="F21" s="30" t="s">
        <v>16</v>
      </c>
      <c r="G21" s="71"/>
      <c r="H21" s="29" t="s">
        <v>83</v>
      </c>
    </row>
    <row r="22" spans="1:8">
      <c r="A22" s="70" t="s">
        <v>84</v>
      </c>
      <c r="B22" s="28"/>
      <c r="C22" s="29">
        <v>14</v>
      </c>
      <c r="D22" s="29">
        <v>14</v>
      </c>
      <c r="E22" s="29"/>
      <c r="F22" s="30"/>
      <c r="G22" s="71" t="s">
        <v>85</v>
      </c>
      <c r="H22" s="29"/>
    </row>
    <row r="23" spans="1:8">
      <c r="A23" s="70" t="s">
        <v>86</v>
      </c>
      <c r="B23" s="31">
        <v>21</v>
      </c>
      <c r="C23" s="29">
        <v>14</v>
      </c>
      <c r="D23" s="29">
        <v>14</v>
      </c>
      <c r="E23" s="29"/>
      <c r="F23" s="32" t="s">
        <v>64</v>
      </c>
      <c r="G23" s="55" t="s">
        <v>87</v>
      </c>
      <c r="H23" s="29"/>
    </row>
    <row r="24" spans="1:8">
      <c r="A24" s="70" t="s">
        <v>88</v>
      </c>
      <c r="B24" s="28">
        <v>14</v>
      </c>
      <c r="C24" s="29">
        <v>14</v>
      </c>
      <c r="D24" s="29">
        <v>14</v>
      </c>
      <c r="E24" s="29"/>
      <c r="F24" s="30" t="s">
        <v>16</v>
      </c>
      <c r="G24" s="71"/>
      <c r="H24" s="29"/>
    </row>
    <row r="25" spans="1:8">
      <c r="A25" s="70" t="s">
        <v>89</v>
      </c>
      <c r="B25" s="31">
        <v>14</v>
      </c>
      <c r="C25" s="29">
        <v>14</v>
      </c>
      <c r="D25" s="29">
        <v>14</v>
      </c>
      <c r="E25" s="29"/>
      <c r="F25" s="32" t="s">
        <v>18</v>
      </c>
      <c r="G25" s="71"/>
      <c r="H25" s="29"/>
    </row>
    <row r="26" spans="1:8">
      <c r="A26" s="70" t="s">
        <v>90</v>
      </c>
      <c r="B26" s="31">
        <v>18</v>
      </c>
      <c r="C26" s="29">
        <v>17.5</v>
      </c>
      <c r="D26" s="29">
        <v>17.5</v>
      </c>
      <c r="E26" s="29"/>
      <c r="F26" s="32" t="s">
        <v>18</v>
      </c>
      <c r="G26" s="55" t="s">
        <v>12</v>
      </c>
      <c r="H26" s="29" t="s">
        <v>91</v>
      </c>
    </row>
    <row r="27" spans="1:8">
      <c r="A27" s="70" t="s">
        <v>92</v>
      </c>
      <c r="B27" s="31">
        <v>42</v>
      </c>
      <c r="C27" s="29">
        <v>28</v>
      </c>
      <c r="D27" s="29">
        <v>24.5</v>
      </c>
      <c r="E27" s="29">
        <f>D27/3.5</f>
        <v>7</v>
      </c>
      <c r="F27" s="32" t="s">
        <v>64</v>
      </c>
      <c r="G27" s="71" t="s">
        <v>65</v>
      </c>
      <c r="H27" s="29"/>
    </row>
    <row r="28" spans="1:8">
      <c r="A28" s="70" t="s">
        <v>93</v>
      </c>
      <c r="B28" s="31"/>
      <c r="C28" s="29">
        <v>7</v>
      </c>
      <c r="D28" s="29">
        <v>7</v>
      </c>
      <c r="E28" s="29"/>
      <c r="F28" s="32"/>
      <c r="G28" s="71"/>
      <c r="H28" s="29"/>
    </row>
    <row r="29" spans="1:8">
      <c r="A29" s="70" t="s">
        <v>94</v>
      </c>
      <c r="B29" s="31"/>
      <c r="C29" s="29">
        <v>14</v>
      </c>
      <c r="D29" s="29">
        <v>14</v>
      </c>
      <c r="E29" s="29"/>
      <c r="F29" s="32"/>
      <c r="G29" s="71" t="s">
        <v>12</v>
      </c>
      <c r="H29" s="29"/>
    </row>
    <row r="30" spans="1:8">
      <c r="A30" s="70" t="s">
        <v>95</v>
      </c>
      <c r="B30" s="72">
        <v>12</v>
      </c>
      <c r="C30" s="29">
        <v>14</v>
      </c>
      <c r="D30" s="29">
        <v>14</v>
      </c>
      <c r="E30" s="29"/>
      <c r="F30" s="32" t="s">
        <v>18</v>
      </c>
      <c r="G30" s="71" t="s">
        <v>12</v>
      </c>
      <c r="H30" s="29"/>
    </row>
    <row r="31" spans="1:8">
      <c r="A31" s="70" t="s">
        <v>96</v>
      </c>
      <c r="B31" s="28">
        <v>21</v>
      </c>
      <c r="C31" s="29">
        <v>10.5</v>
      </c>
      <c r="D31" s="29">
        <v>10.5</v>
      </c>
      <c r="E31" s="29"/>
      <c r="F31" s="30" t="s">
        <v>18</v>
      </c>
      <c r="G31" s="71" t="s">
        <v>97</v>
      </c>
      <c r="H31" s="29"/>
    </row>
    <row r="32" spans="1:8">
      <c r="A32" s="71" t="s">
        <v>98</v>
      </c>
      <c r="B32" s="29"/>
      <c r="C32" s="29">
        <v>14</v>
      </c>
      <c r="D32" s="29">
        <v>14</v>
      </c>
      <c r="E32" s="29"/>
      <c r="F32" s="29" t="s">
        <v>16</v>
      </c>
      <c r="G32" s="71" t="s">
        <v>12</v>
      </c>
      <c r="H32" s="29"/>
    </row>
    <row r="33" spans="1:8">
      <c r="A33" s="70" t="s">
        <v>44</v>
      </c>
      <c r="B33" s="28">
        <v>10</v>
      </c>
      <c r="C33" s="29">
        <v>10.5</v>
      </c>
      <c r="D33" s="29">
        <v>10.5</v>
      </c>
      <c r="E33" s="29"/>
      <c r="F33" s="30" t="s">
        <v>16</v>
      </c>
      <c r="G33" s="71"/>
      <c r="H33" s="29"/>
    </row>
    <row r="34" spans="1:8">
      <c r="A34" s="7" t="s">
        <v>99</v>
      </c>
      <c r="B34" s="8">
        <f>SUM(B35:B36)</f>
        <v>21</v>
      </c>
      <c r="C34" s="8">
        <f t="shared" ref="C34:D34" si="1">SUM(C35:C36)</f>
        <v>63</v>
      </c>
      <c r="D34" s="8">
        <f t="shared" si="1"/>
        <v>21</v>
      </c>
      <c r="E34" s="16"/>
      <c r="F34" s="17"/>
      <c r="G34" s="16"/>
      <c r="H34" s="16"/>
    </row>
    <row r="35" spans="1:8">
      <c r="A35" s="30" t="s">
        <v>100</v>
      </c>
      <c r="B35" s="28"/>
      <c r="C35" s="29">
        <v>21</v>
      </c>
      <c r="D35" s="29">
        <v>21</v>
      </c>
      <c r="E35" s="29"/>
      <c r="F35" s="30" t="s">
        <v>16</v>
      </c>
      <c r="G35" s="29"/>
      <c r="H35" s="29"/>
    </row>
    <row r="36" spans="1:8">
      <c r="A36" s="30" t="s">
        <v>101</v>
      </c>
      <c r="B36" s="28">
        <v>21</v>
      </c>
      <c r="C36" s="29">
        <v>42</v>
      </c>
      <c r="D36" s="29">
        <v>0</v>
      </c>
      <c r="E36" s="29"/>
      <c r="F36" s="30" t="s">
        <v>16</v>
      </c>
      <c r="G36" s="29"/>
      <c r="H36" s="29"/>
    </row>
    <row r="37" spans="1:8">
      <c r="B37">
        <f>SUM(B3,B12,B34)</f>
        <v>472</v>
      </c>
      <c r="C37" s="35">
        <f>SUM(C3,C12,C34)</f>
        <v>574</v>
      </c>
      <c r="D37" s="35">
        <f>SUM(D3,D12,D34)</f>
        <v>511</v>
      </c>
    </row>
    <row r="38" spans="1:8">
      <c r="A38" t="s">
        <v>61</v>
      </c>
      <c r="B38">
        <v>574</v>
      </c>
    </row>
    <row r="39" spans="1:8">
      <c r="A39" t="s">
        <v>62</v>
      </c>
      <c r="B39">
        <v>511</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6B87-4EC4-4AB5-BFD4-BF8988AE3F55}">
  <sheetPr>
    <pageSetUpPr fitToPage="1"/>
  </sheetPr>
  <dimension ref="A1:G70"/>
  <sheetViews>
    <sheetView tabSelected="1" topLeftCell="A8" zoomScaleNormal="100" workbookViewId="0">
      <selection activeCell="F9" sqref="F9"/>
    </sheetView>
  </sheetViews>
  <sheetFormatPr defaultColWidth="11.42578125" defaultRowHeight="13.9"/>
  <cols>
    <col min="1" max="1" width="55.85546875" style="1" customWidth="1"/>
    <col min="2" max="2" width="11.42578125" style="27"/>
    <col min="3" max="3" width="12" style="67" customWidth="1"/>
    <col min="4" max="4" width="11.42578125" style="1"/>
    <col min="5" max="5" width="42.85546875" style="1" customWidth="1"/>
    <col min="6" max="6" width="49.7109375" style="1" bestFit="1" customWidth="1"/>
    <col min="7" max="7" width="95.42578125" style="75" customWidth="1"/>
    <col min="8" max="16384" width="11.42578125" style="1"/>
  </cols>
  <sheetData>
    <row r="1" spans="1:7" ht="42" customHeight="1">
      <c r="A1" s="89" t="s">
        <v>102</v>
      </c>
      <c r="B1" s="89"/>
      <c r="C1" s="89"/>
      <c r="D1" s="89"/>
      <c r="E1" s="89"/>
      <c r="F1" s="89"/>
      <c r="G1" s="89"/>
    </row>
    <row r="2" spans="1:7" ht="27.6">
      <c r="A2" s="2" t="s">
        <v>1</v>
      </c>
      <c r="B2" s="4" t="s">
        <v>103</v>
      </c>
      <c r="C2" s="4" t="s">
        <v>104</v>
      </c>
      <c r="D2" s="5" t="s">
        <v>6</v>
      </c>
      <c r="E2" s="6" t="s">
        <v>105</v>
      </c>
      <c r="F2" s="6" t="s">
        <v>8</v>
      </c>
      <c r="G2" s="6" t="s">
        <v>106</v>
      </c>
    </row>
    <row r="3" spans="1:7">
      <c r="A3" s="7" t="s">
        <v>107</v>
      </c>
      <c r="B3" s="9">
        <f t="shared" ref="B3" si="0">SUM(B4:B6)</f>
        <v>56</v>
      </c>
      <c r="C3" s="9"/>
      <c r="D3" s="10"/>
      <c r="E3" s="9"/>
      <c r="F3" s="9"/>
      <c r="G3" s="9"/>
    </row>
    <row r="4" spans="1:7" ht="36.6" customHeight="1">
      <c r="A4" s="70" t="s">
        <v>108</v>
      </c>
      <c r="B4" s="12">
        <v>21</v>
      </c>
      <c r="C4" s="36" t="s">
        <v>109</v>
      </c>
      <c r="D4" s="98" t="s">
        <v>110</v>
      </c>
      <c r="E4" s="91" t="s">
        <v>111</v>
      </c>
      <c r="F4" s="39"/>
      <c r="G4" s="107" t="s">
        <v>112</v>
      </c>
    </row>
    <row r="5" spans="1:7" ht="36.6" customHeight="1">
      <c r="A5" s="70" t="s">
        <v>113</v>
      </c>
      <c r="B5" s="12">
        <v>14</v>
      </c>
      <c r="C5" s="36" t="s">
        <v>109</v>
      </c>
      <c r="D5" s="99"/>
      <c r="E5" s="91"/>
      <c r="F5" s="39"/>
      <c r="G5" s="108"/>
    </row>
    <row r="6" spans="1:7" ht="36.6" customHeight="1">
      <c r="A6" s="70" t="s">
        <v>114</v>
      </c>
      <c r="B6" s="12">
        <v>21</v>
      </c>
      <c r="C6" s="36" t="s">
        <v>115</v>
      </c>
      <c r="D6" s="100"/>
      <c r="E6" s="91"/>
      <c r="F6" s="39" t="s">
        <v>65</v>
      </c>
      <c r="G6" s="109"/>
    </row>
    <row r="7" spans="1:7">
      <c r="A7" s="7" t="s">
        <v>116</v>
      </c>
      <c r="B7" s="9">
        <f t="shared" ref="B7" si="1">SUM(B8:B13)</f>
        <v>119</v>
      </c>
      <c r="C7" s="40"/>
      <c r="D7" s="41"/>
      <c r="E7" s="42"/>
      <c r="F7" s="42"/>
      <c r="G7" s="76"/>
    </row>
    <row r="8" spans="1:7" ht="24.6" customHeight="1">
      <c r="A8" s="70" t="s">
        <v>117</v>
      </c>
      <c r="B8" s="12">
        <v>17.5</v>
      </c>
      <c r="C8" s="36" t="s">
        <v>118</v>
      </c>
      <c r="D8" s="37" t="s">
        <v>11</v>
      </c>
      <c r="E8" s="92" t="s">
        <v>119</v>
      </c>
      <c r="F8" s="39" t="s">
        <v>120</v>
      </c>
      <c r="G8" s="115" t="s">
        <v>121</v>
      </c>
    </row>
    <row r="9" spans="1:7" ht="24.6" customHeight="1">
      <c r="A9" s="70" t="s">
        <v>122</v>
      </c>
      <c r="B9" s="12">
        <v>21</v>
      </c>
      <c r="C9" s="36" t="s">
        <v>123</v>
      </c>
      <c r="D9" s="37" t="s">
        <v>11</v>
      </c>
      <c r="E9" s="93"/>
      <c r="F9" s="39"/>
      <c r="G9" s="116"/>
    </row>
    <row r="10" spans="1:7" ht="24.6" customHeight="1">
      <c r="A10" s="70" t="s">
        <v>124</v>
      </c>
      <c r="B10" s="12">
        <v>17.5</v>
      </c>
      <c r="C10" s="36" t="s">
        <v>123</v>
      </c>
      <c r="D10" s="37" t="s">
        <v>11</v>
      </c>
      <c r="E10" s="93"/>
      <c r="F10" s="39"/>
      <c r="G10" s="116"/>
    </row>
    <row r="11" spans="1:7" ht="24.6" customHeight="1">
      <c r="A11" s="70" t="s">
        <v>125</v>
      </c>
      <c r="B11" s="12">
        <v>10.5</v>
      </c>
      <c r="C11" s="36" t="s">
        <v>126</v>
      </c>
      <c r="D11" s="37" t="s">
        <v>11</v>
      </c>
      <c r="E11" s="93"/>
      <c r="F11" s="39"/>
      <c r="G11" s="116"/>
    </row>
    <row r="12" spans="1:7" ht="24.6" customHeight="1">
      <c r="A12" s="70" t="s">
        <v>127</v>
      </c>
      <c r="B12" s="12">
        <v>10.5</v>
      </c>
      <c r="C12" s="36" t="s">
        <v>126</v>
      </c>
      <c r="D12" s="37" t="s">
        <v>11</v>
      </c>
      <c r="E12" s="93"/>
      <c r="F12" s="39"/>
      <c r="G12" s="116"/>
    </row>
    <row r="13" spans="1:7" ht="24.6" customHeight="1">
      <c r="A13" s="30" t="s">
        <v>128</v>
      </c>
      <c r="B13" s="12">
        <v>42</v>
      </c>
      <c r="C13" s="36" t="s">
        <v>129</v>
      </c>
      <c r="D13" s="37" t="s">
        <v>16</v>
      </c>
      <c r="E13" s="94"/>
      <c r="F13" s="39" t="s">
        <v>130</v>
      </c>
      <c r="G13" s="116"/>
    </row>
    <row r="14" spans="1:7" ht="13.9" customHeight="1">
      <c r="A14" s="7" t="s">
        <v>131</v>
      </c>
      <c r="B14" s="9">
        <f t="shared" ref="B14" si="2">SUM(B15:B17,B18)</f>
        <v>73.5</v>
      </c>
      <c r="C14" s="40"/>
      <c r="D14" s="41"/>
      <c r="E14" s="42"/>
      <c r="F14" s="42"/>
      <c r="G14" s="42"/>
    </row>
    <row r="15" spans="1:7" ht="18.600000000000001" customHeight="1">
      <c r="A15" s="70" t="s">
        <v>132</v>
      </c>
      <c r="B15" s="12">
        <v>24.5</v>
      </c>
      <c r="C15" s="36" t="s">
        <v>133</v>
      </c>
      <c r="D15" s="37" t="s">
        <v>16</v>
      </c>
      <c r="E15" s="91" t="s">
        <v>134</v>
      </c>
      <c r="F15" s="39"/>
      <c r="G15" s="107" t="s">
        <v>135</v>
      </c>
    </row>
    <row r="16" spans="1:7" ht="18.600000000000001" customHeight="1">
      <c r="A16" s="70" t="s">
        <v>136</v>
      </c>
      <c r="B16" s="12">
        <v>14</v>
      </c>
      <c r="C16" s="36" t="s">
        <v>137</v>
      </c>
      <c r="D16" s="37" t="s">
        <v>11</v>
      </c>
      <c r="E16" s="91"/>
      <c r="F16" s="39"/>
      <c r="G16" s="108"/>
    </row>
    <row r="17" spans="1:7" ht="18.600000000000001" customHeight="1">
      <c r="A17" s="70" t="s">
        <v>138</v>
      </c>
      <c r="B17" s="12">
        <v>14</v>
      </c>
      <c r="C17" s="36" t="s">
        <v>139</v>
      </c>
      <c r="D17" s="37" t="s">
        <v>11</v>
      </c>
      <c r="E17" s="91"/>
      <c r="F17" s="39"/>
      <c r="G17" s="108"/>
    </row>
    <row r="18" spans="1:7" ht="18.600000000000001" customHeight="1">
      <c r="A18" s="43" t="s">
        <v>140</v>
      </c>
      <c r="B18" s="44">
        <f>SUM(B19:B24)</f>
        <v>21</v>
      </c>
      <c r="C18" s="45" t="s">
        <v>133</v>
      </c>
      <c r="D18" s="46" t="s">
        <v>18</v>
      </c>
      <c r="E18" s="91"/>
      <c r="F18" s="39" t="s">
        <v>65</v>
      </c>
      <c r="G18" s="108"/>
    </row>
    <row r="19" spans="1:7" ht="18.600000000000001" customHeight="1">
      <c r="A19" s="83" t="s">
        <v>141</v>
      </c>
      <c r="B19" s="11">
        <v>3.5</v>
      </c>
      <c r="C19" s="36" t="s">
        <v>12</v>
      </c>
      <c r="D19" s="37"/>
      <c r="E19" s="91"/>
      <c r="F19" s="39"/>
      <c r="G19" s="108"/>
    </row>
    <row r="20" spans="1:7" ht="18.600000000000001" customHeight="1">
      <c r="A20" s="83" t="s">
        <v>142</v>
      </c>
      <c r="B20" s="11">
        <v>3.5</v>
      </c>
      <c r="C20" s="36" t="s">
        <v>12</v>
      </c>
      <c r="D20" s="37"/>
      <c r="E20" s="91"/>
      <c r="F20" s="39"/>
      <c r="G20" s="108"/>
    </row>
    <row r="21" spans="1:7" ht="18.600000000000001" customHeight="1">
      <c r="A21" s="83" t="s">
        <v>143</v>
      </c>
      <c r="B21" s="11">
        <v>3.5</v>
      </c>
      <c r="C21" s="36" t="s">
        <v>12</v>
      </c>
      <c r="D21" s="37"/>
      <c r="E21" s="91"/>
      <c r="F21" s="39"/>
      <c r="G21" s="108"/>
    </row>
    <row r="22" spans="1:7" ht="18.600000000000001" customHeight="1">
      <c r="A22" s="83" t="s">
        <v>144</v>
      </c>
      <c r="B22" s="11">
        <v>3.5</v>
      </c>
      <c r="C22" s="36" t="s">
        <v>12</v>
      </c>
      <c r="D22" s="37"/>
      <c r="E22" s="91"/>
      <c r="F22" s="39"/>
      <c r="G22" s="108"/>
    </row>
    <row r="23" spans="1:7" ht="18.600000000000001" customHeight="1">
      <c r="A23" s="83" t="s">
        <v>145</v>
      </c>
      <c r="B23" s="11">
        <v>3.5</v>
      </c>
      <c r="C23" s="36" t="s">
        <v>12</v>
      </c>
      <c r="D23" s="37"/>
      <c r="E23" s="91"/>
      <c r="F23" s="39"/>
      <c r="G23" s="108"/>
    </row>
    <row r="24" spans="1:7" ht="18.600000000000001" customHeight="1">
      <c r="A24" s="83" t="s">
        <v>146</v>
      </c>
      <c r="B24" s="11">
        <v>3.5</v>
      </c>
      <c r="C24" s="36" t="s">
        <v>12</v>
      </c>
      <c r="D24" s="37"/>
      <c r="E24" s="91"/>
      <c r="F24" s="39"/>
      <c r="G24" s="109"/>
    </row>
    <row r="25" spans="1:7">
      <c r="A25" s="7" t="s">
        <v>147</v>
      </c>
      <c r="B25" s="9">
        <f>SUM(B26:B32)</f>
        <v>154</v>
      </c>
      <c r="C25" s="40"/>
      <c r="D25" s="41"/>
      <c r="E25" s="42"/>
      <c r="F25" s="42"/>
      <c r="G25" s="76"/>
    </row>
    <row r="26" spans="1:7" ht="33.6" customHeight="1">
      <c r="A26" s="70" t="s">
        <v>148</v>
      </c>
      <c r="B26" s="12">
        <v>17.5</v>
      </c>
      <c r="C26" s="36" t="s">
        <v>149</v>
      </c>
      <c r="D26" s="37" t="s">
        <v>11</v>
      </c>
      <c r="E26" s="95" t="s">
        <v>150</v>
      </c>
      <c r="F26" s="47" t="s">
        <v>151</v>
      </c>
      <c r="G26" s="101" t="s">
        <v>152</v>
      </c>
    </row>
    <row r="27" spans="1:7" ht="33.6" customHeight="1">
      <c r="A27" s="70" t="s">
        <v>153</v>
      </c>
      <c r="B27" s="12">
        <v>14</v>
      </c>
      <c r="C27" s="36" t="s">
        <v>149</v>
      </c>
      <c r="D27" s="37" t="s">
        <v>11</v>
      </c>
      <c r="E27" s="96"/>
      <c r="F27" s="47" t="s">
        <v>154</v>
      </c>
      <c r="G27" s="102"/>
    </row>
    <row r="28" spans="1:7" ht="33.6" customHeight="1">
      <c r="A28" s="70" t="s">
        <v>155</v>
      </c>
      <c r="B28" s="12">
        <v>14</v>
      </c>
      <c r="C28" s="36" t="s">
        <v>149</v>
      </c>
      <c r="D28" s="37" t="s">
        <v>11</v>
      </c>
      <c r="E28" s="96"/>
      <c r="F28" s="47"/>
      <c r="G28" s="102"/>
    </row>
    <row r="29" spans="1:7" ht="33.6" customHeight="1">
      <c r="A29" s="70" t="s">
        <v>156</v>
      </c>
      <c r="B29" s="12">
        <v>14</v>
      </c>
      <c r="C29" s="36" t="s">
        <v>157</v>
      </c>
      <c r="D29" s="37" t="s">
        <v>11</v>
      </c>
      <c r="E29" s="96"/>
      <c r="F29" s="48"/>
      <c r="G29" s="102"/>
    </row>
    <row r="30" spans="1:7" ht="33.6" customHeight="1">
      <c r="A30" s="70" t="s">
        <v>158</v>
      </c>
      <c r="B30" s="12">
        <v>10.5</v>
      </c>
      <c r="C30" s="36" t="s">
        <v>157</v>
      </c>
      <c r="D30" s="37" t="s">
        <v>11</v>
      </c>
      <c r="E30" s="96"/>
      <c r="F30" s="48"/>
      <c r="G30" s="102"/>
    </row>
    <row r="31" spans="1:7" ht="33.6" customHeight="1">
      <c r="A31" s="70" t="s">
        <v>159</v>
      </c>
      <c r="B31" s="12">
        <v>14</v>
      </c>
      <c r="C31" s="36" t="s">
        <v>157</v>
      </c>
      <c r="D31" s="37" t="s">
        <v>11</v>
      </c>
      <c r="E31" s="96"/>
      <c r="F31" s="48" t="s">
        <v>65</v>
      </c>
      <c r="G31" s="102"/>
    </row>
    <row r="32" spans="1:7" ht="33.6" customHeight="1">
      <c r="A32" s="30" t="s">
        <v>160</v>
      </c>
      <c r="B32" s="49">
        <v>70</v>
      </c>
      <c r="C32" s="36" t="s">
        <v>161</v>
      </c>
      <c r="D32" s="50" t="s">
        <v>11</v>
      </c>
      <c r="E32" s="97"/>
      <c r="F32" s="48"/>
      <c r="G32" s="103"/>
    </row>
    <row r="33" spans="1:7">
      <c r="A33" s="7" t="s">
        <v>162</v>
      </c>
      <c r="B33" s="9">
        <f>SUM(B34:B35)</f>
        <v>31.5</v>
      </c>
      <c r="C33" s="40"/>
      <c r="D33" s="41"/>
      <c r="E33" s="42"/>
      <c r="F33" s="42"/>
      <c r="G33" s="76"/>
    </row>
    <row r="34" spans="1:7" ht="51" customHeight="1">
      <c r="A34" s="70" t="s">
        <v>163</v>
      </c>
      <c r="B34" s="12">
        <v>17.5</v>
      </c>
      <c r="C34" s="36" t="s">
        <v>164</v>
      </c>
      <c r="D34" s="37" t="s">
        <v>16</v>
      </c>
      <c r="E34" s="91" t="s">
        <v>165</v>
      </c>
      <c r="F34" s="39"/>
      <c r="G34" s="107" t="s">
        <v>166</v>
      </c>
    </row>
    <row r="35" spans="1:7" ht="51" customHeight="1">
      <c r="A35" s="70" t="s">
        <v>167</v>
      </c>
      <c r="B35" s="12">
        <v>14</v>
      </c>
      <c r="C35" s="36" t="s">
        <v>168</v>
      </c>
      <c r="D35" s="37" t="s">
        <v>16</v>
      </c>
      <c r="E35" s="91"/>
      <c r="F35" s="39"/>
      <c r="G35" s="117"/>
    </row>
    <row r="36" spans="1:7" ht="13.7" customHeight="1">
      <c r="A36" s="7" t="s">
        <v>169</v>
      </c>
      <c r="B36" s="9">
        <f>SUM(B37:B40)</f>
        <v>28</v>
      </c>
      <c r="C36" s="10"/>
      <c r="D36" s="51"/>
      <c r="E36" s="7"/>
      <c r="F36" s="7" t="s">
        <v>170</v>
      </c>
      <c r="G36" s="9" t="s">
        <v>12</v>
      </c>
    </row>
    <row r="37" spans="1:7" ht="21.6" customHeight="1">
      <c r="A37" s="68" t="s">
        <v>171</v>
      </c>
      <c r="B37" s="49">
        <v>7</v>
      </c>
      <c r="C37" s="69"/>
      <c r="D37" s="74" t="s">
        <v>18</v>
      </c>
      <c r="E37" s="84"/>
      <c r="F37" s="104" t="s">
        <v>172</v>
      </c>
      <c r="G37" s="77"/>
    </row>
    <row r="38" spans="1:7" ht="21.6" customHeight="1">
      <c r="A38" s="68" t="s">
        <v>173</v>
      </c>
      <c r="B38" s="49">
        <v>7</v>
      </c>
      <c r="C38" s="69"/>
      <c r="D38" s="74" t="s">
        <v>18</v>
      </c>
      <c r="E38" s="84"/>
      <c r="F38" s="105"/>
      <c r="G38" s="86"/>
    </row>
    <row r="39" spans="1:7" ht="21.6" customHeight="1">
      <c r="A39" s="68" t="s">
        <v>174</v>
      </c>
      <c r="B39" s="49">
        <v>7</v>
      </c>
      <c r="C39" s="69"/>
      <c r="D39" s="74" t="s">
        <v>18</v>
      </c>
      <c r="E39" s="84"/>
      <c r="F39" s="105"/>
      <c r="G39" s="86"/>
    </row>
    <row r="40" spans="1:7" ht="21.6" customHeight="1">
      <c r="A40" s="32" t="s">
        <v>175</v>
      </c>
      <c r="B40" s="11">
        <v>7</v>
      </c>
      <c r="C40" s="36" t="s">
        <v>12</v>
      </c>
      <c r="D40" s="73" t="s">
        <v>18</v>
      </c>
      <c r="E40" s="39"/>
      <c r="F40" s="106"/>
      <c r="G40" s="78"/>
    </row>
    <row r="41" spans="1:7">
      <c r="A41" s="7" t="s">
        <v>176</v>
      </c>
      <c r="B41" s="9">
        <f>SUM(B42:B47)</f>
        <v>87.5</v>
      </c>
      <c r="C41" s="52"/>
      <c r="D41" s="17"/>
      <c r="E41" s="16"/>
      <c r="F41" s="16"/>
      <c r="G41" s="79"/>
    </row>
    <row r="42" spans="1:7" ht="25.15" customHeight="1">
      <c r="A42" s="70" t="s">
        <v>177</v>
      </c>
      <c r="B42" s="12">
        <v>21</v>
      </c>
      <c r="C42" s="36" t="s">
        <v>178</v>
      </c>
      <c r="D42" s="37" t="s">
        <v>14</v>
      </c>
      <c r="E42" s="15"/>
      <c r="F42" s="15"/>
      <c r="G42" s="107" t="s">
        <v>179</v>
      </c>
    </row>
    <row r="43" spans="1:7" ht="25.15" customHeight="1">
      <c r="A43" s="30" t="s">
        <v>180</v>
      </c>
      <c r="B43" s="12">
        <v>14</v>
      </c>
      <c r="C43" s="53" t="s">
        <v>178</v>
      </c>
      <c r="D43" s="37" t="s">
        <v>14</v>
      </c>
      <c r="E43" s="15"/>
      <c r="F43" s="15"/>
      <c r="G43" s="108"/>
    </row>
    <row r="44" spans="1:7" ht="25.15" customHeight="1">
      <c r="A44" s="30" t="s">
        <v>93</v>
      </c>
      <c r="B44" s="12">
        <v>7</v>
      </c>
      <c r="C44" s="53" t="s">
        <v>178</v>
      </c>
      <c r="D44" s="37" t="s">
        <v>16</v>
      </c>
      <c r="E44" s="15"/>
      <c r="F44" s="15"/>
      <c r="G44" s="108"/>
    </row>
    <row r="45" spans="1:7" ht="25.15" customHeight="1">
      <c r="A45" s="30" t="s">
        <v>181</v>
      </c>
      <c r="B45" s="11">
        <v>7</v>
      </c>
      <c r="C45" s="36" t="s">
        <v>182</v>
      </c>
      <c r="D45" s="37" t="s">
        <v>14</v>
      </c>
      <c r="E45" s="15"/>
      <c r="F45" s="15"/>
      <c r="G45" s="108"/>
    </row>
    <row r="46" spans="1:7" ht="25.15" customHeight="1">
      <c r="A46" s="30" t="s">
        <v>183</v>
      </c>
      <c r="B46" s="12">
        <v>35</v>
      </c>
      <c r="C46" s="36" t="s">
        <v>182</v>
      </c>
      <c r="D46" s="37" t="s">
        <v>18</v>
      </c>
      <c r="E46" s="38"/>
      <c r="F46" s="38" t="s">
        <v>184</v>
      </c>
      <c r="G46" s="108"/>
    </row>
    <row r="47" spans="1:7" ht="25.15" customHeight="1">
      <c r="A47" s="30" t="s">
        <v>185</v>
      </c>
      <c r="B47" s="12">
        <v>3.5</v>
      </c>
      <c r="C47" s="36" t="s">
        <v>182</v>
      </c>
      <c r="D47" s="37" t="s">
        <v>16</v>
      </c>
      <c r="E47" s="15"/>
      <c r="F47" s="12"/>
      <c r="G47" s="109"/>
    </row>
    <row r="48" spans="1:7">
      <c r="A48" s="7" t="s">
        <v>50</v>
      </c>
      <c r="B48" s="9">
        <f>SUM(B49:B49)</f>
        <v>7</v>
      </c>
      <c r="C48" s="52"/>
      <c r="D48" s="17"/>
      <c r="E48" s="16"/>
      <c r="F48" s="16"/>
      <c r="G48" s="79"/>
    </row>
    <row r="49" spans="1:7" ht="13.5">
      <c r="A49" s="30" t="s">
        <v>186</v>
      </c>
      <c r="B49" s="12">
        <v>7</v>
      </c>
      <c r="C49" s="36" t="s">
        <v>12</v>
      </c>
      <c r="D49" s="54" t="s">
        <v>18</v>
      </c>
      <c r="E49" s="55"/>
      <c r="F49" s="55"/>
      <c r="G49" s="80"/>
    </row>
    <row r="50" spans="1:7" ht="13.5">
      <c r="A50" s="56" t="s">
        <v>187</v>
      </c>
      <c r="B50" s="57">
        <f>SUM(B51:B58)</f>
        <v>38.5</v>
      </c>
      <c r="C50" s="58"/>
      <c r="D50" s="59"/>
      <c r="E50" s="56"/>
      <c r="F50" s="56"/>
      <c r="G50" s="57"/>
    </row>
    <row r="51" spans="1:7">
      <c r="A51" s="30" t="s">
        <v>188</v>
      </c>
      <c r="B51" s="38">
        <v>3.5</v>
      </c>
      <c r="C51" s="60" t="s">
        <v>12</v>
      </c>
      <c r="D51" s="61"/>
      <c r="E51" s="39"/>
      <c r="F51" s="39" t="s">
        <v>189</v>
      </c>
      <c r="G51" s="38"/>
    </row>
    <row r="52" spans="1:7">
      <c r="A52" s="30" t="s">
        <v>190</v>
      </c>
      <c r="B52" s="38">
        <v>7</v>
      </c>
      <c r="C52" s="60" t="s">
        <v>12</v>
      </c>
      <c r="D52" s="62"/>
      <c r="E52" s="63"/>
      <c r="F52" s="63" t="s">
        <v>191</v>
      </c>
      <c r="G52" s="81"/>
    </row>
    <row r="53" spans="1:7">
      <c r="A53" s="30" t="s">
        <v>192</v>
      </c>
      <c r="B53" s="38">
        <v>7</v>
      </c>
      <c r="C53" s="60"/>
      <c r="D53" s="62"/>
      <c r="E53" s="63"/>
      <c r="F53" s="63" t="s">
        <v>193</v>
      </c>
      <c r="G53" s="81"/>
    </row>
    <row r="54" spans="1:7">
      <c r="A54" s="30" t="s">
        <v>194</v>
      </c>
      <c r="B54" s="38">
        <v>0</v>
      </c>
      <c r="C54" s="60"/>
      <c r="D54" s="62"/>
      <c r="E54" s="63"/>
      <c r="F54" s="63" t="s">
        <v>195</v>
      </c>
      <c r="G54" s="81"/>
    </row>
    <row r="55" spans="1:7">
      <c r="A55" s="30" t="s">
        <v>196</v>
      </c>
      <c r="B55" s="38">
        <v>0</v>
      </c>
      <c r="C55" s="60"/>
      <c r="D55" s="62"/>
      <c r="E55" s="63"/>
      <c r="F55" s="63" t="s">
        <v>197</v>
      </c>
      <c r="G55" s="81"/>
    </row>
    <row r="56" spans="1:7">
      <c r="A56" s="30" t="s">
        <v>198</v>
      </c>
      <c r="B56" s="38">
        <v>0</v>
      </c>
      <c r="C56" s="60" t="s">
        <v>12</v>
      </c>
      <c r="D56" s="62"/>
      <c r="E56" s="63"/>
      <c r="F56" s="63" t="s">
        <v>199</v>
      </c>
      <c r="G56" s="81"/>
    </row>
    <row r="57" spans="1:7" ht="13.5">
      <c r="A57" s="30" t="s">
        <v>200</v>
      </c>
      <c r="B57" s="38">
        <v>7</v>
      </c>
      <c r="C57" s="60" t="s">
        <v>12</v>
      </c>
      <c r="D57" s="62"/>
      <c r="E57" s="63"/>
      <c r="F57" s="63" t="s">
        <v>201</v>
      </c>
      <c r="G57" s="81"/>
    </row>
    <row r="58" spans="1:7" ht="13.5">
      <c r="A58" s="30" t="s">
        <v>202</v>
      </c>
      <c r="B58" s="38">
        <v>14</v>
      </c>
      <c r="C58" s="60"/>
      <c r="D58" s="62"/>
      <c r="E58" s="63"/>
      <c r="F58" s="63" t="s">
        <v>203</v>
      </c>
      <c r="G58" s="81"/>
    </row>
    <row r="59" spans="1:7">
      <c r="A59" s="64" t="s">
        <v>204</v>
      </c>
      <c r="B59" s="65">
        <f>SUM(B3,B7,B14,B25,B33,B36,B41,B48,B50)</f>
        <v>595</v>
      </c>
      <c r="C59" s="65"/>
      <c r="D59" s="66"/>
      <c r="E59" s="64"/>
      <c r="F59" s="64"/>
      <c r="G59" s="82"/>
    </row>
    <row r="60" spans="1:7" ht="13.5">
      <c r="A60" s="30" t="s">
        <v>61</v>
      </c>
      <c r="B60" s="27">
        <v>595</v>
      </c>
    </row>
    <row r="62" spans="1:7" ht="15.6">
      <c r="A62" s="111" t="s">
        <v>205</v>
      </c>
      <c r="B62" s="111"/>
      <c r="C62" s="111"/>
      <c r="D62" s="111"/>
      <c r="E62"/>
    </row>
    <row r="63" spans="1:7">
      <c r="A63" s="112" t="s">
        <v>206</v>
      </c>
      <c r="B63" s="112"/>
      <c r="C63" s="112"/>
      <c r="D63" s="112"/>
      <c r="G63" s="1"/>
    </row>
    <row r="64" spans="1:7" ht="204.6" customHeight="1">
      <c r="A64" s="85" t="s">
        <v>207</v>
      </c>
      <c r="B64" s="110" t="s">
        <v>208</v>
      </c>
      <c r="C64" s="113"/>
      <c r="D64" s="113"/>
      <c r="G64" s="1"/>
    </row>
    <row r="65" spans="1:7" ht="14.45">
      <c r="A65" s="114" t="s">
        <v>209</v>
      </c>
      <c r="B65" s="114"/>
      <c r="C65" s="114"/>
      <c r="D65" s="114"/>
      <c r="E65"/>
      <c r="F65"/>
      <c r="G65" s="1"/>
    </row>
    <row r="66" spans="1:7" ht="221.45" customHeight="1">
      <c r="A66" s="85" t="s">
        <v>210</v>
      </c>
      <c r="B66" s="110" t="s">
        <v>211</v>
      </c>
      <c r="C66" s="110"/>
      <c r="D66" s="110"/>
      <c r="E66"/>
      <c r="F66"/>
      <c r="G66" s="1"/>
    </row>
    <row r="67" spans="1:7">
      <c r="A67" s="112" t="s">
        <v>212</v>
      </c>
      <c r="B67" s="112"/>
      <c r="C67" s="112"/>
      <c r="D67" s="112"/>
      <c r="G67" s="1"/>
    </row>
    <row r="68" spans="1:7" ht="214.9" customHeight="1">
      <c r="A68" s="85" t="s">
        <v>213</v>
      </c>
      <c r="B68" s="110" t="s">
        <v>214</v>
      </c>
      <c r="C68" s="110"/>
      <c r="D68" s="110"/>
      <c r="G68" s="1"/>
    </row>
    <row r="69" spans="1:7">
      <c r="G69" s="1"/>
    </row>
    <row r="70" spans="1:7" ht="13.5"/>
  </sheetData>
  <mergeCells count="21">
    <mergeCell ref="G26:G32"/>
    <mergeCell ref="F37:F40"/>
    <mergeCell ref="G42:G47"/>
    <mergeCell ref="A1:G1"/>
    <mergeCell ref="B68:D68"/>
    <mergeCell ref="A62:D62"/>
    <mergeCell ref="A63:D63"/>
    <mergeCell ref="B64:D64"/>
    <mergeCell ref="A65:D65"/>
    <mergeCell ref="B66:D66"/>
    <mergeCell ref="G4:G6"/>
    <mergeCell ref="G8:G13"/>
    <mergeCell ref="G15:G24"/>
    <mergeCell ref="G34:G35"/>
    <mergeCell ref="A67:D67"/>
    <mergeCell ref="E34:E35"/>
    <mergeCell ref="E4:E6"/>
    <mergeCell ref="E8:E13"/>
    <mergeCell ref="E15:E24"/>
    <mergeCell ref="E26:E32"/>
    <mergeCell ref="D4:D6"/>
  </mergeCells>
  <pageMargins left="0.23622047244094491" right="0.23622047244094491" top="0.39370078740157483" bottom="0.39370078740157483" header="0.31496062992125984" footer="0.31496062992125984"/>
  <pageSetup paperSize="9" scale="7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CEF711806F834C88A2266E5B45593A" ma:contentTypeVersion="9" ma:contentTypeDescription="Crée un document." ma:contentTypeScope="" ma:versionID="60b9d9241c0f2d0b37a8e1def4364363">
  <xsd:schema xmlns:xsd="http://www.w3.org/2001/XMLSchema" xmlns:xs="http://www.w3.org/2001/XMLSchema" xmlns:p="http://schemas.microsoft.com/office/2006/metadata/properties" xmlns:ns2="747a320c-6b4e-4183-88dd-923490d0c259" targetNamespace="http://schemas.microsoft.com/office/2006/metadata/properties" ma:root="true" ma:fieldsID="2763f385f05e0d0dbfa665159aa4f2d8" ns2:_="">
    <xsd:import namespace="747a320c-6b4e-4183-88dd-923490d0c2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7a320c-6b4e-4183-88dd-923490d0c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92E7FC8-209D-4BCE-8A47-B89BF4C6423E}"/>
</file>

<file path=customXml/itemProps2.xml><?xml version="1.0" encoding="utf-8"?>
<ds:datastoreItem xmlns:ds="http://schemas.openxmlformats.org/officeDocument/2006/customXml" ds:itemID="{F17673CC-32CC-4377-9E68-4C9036E04647}"/>
</file>

<file path=customXml/itemProps3.xml><?xml version="1.0" encoding="utf-8"?>
<ds:datastoreItem xmlns:ds="http://schemas.openxmlformats.org/officeDocument/2006/customXml" ds:itemID="{5BE7577D-BEA5-48A4-AA9C-63E94E33FA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HERVE</dc:creator>
  <cp:keywords/>
  <dc:description/>
  <cp:lastModifiedBy>HERVE Ludovic</cp:lastModifiedBy>
  <cp:revision/>
  <dcterms:created xsi:type="dcterms:W3CDTF">2025-04-06T09:16:23Z</dcterms:created>
  <dcterms:modified xsi:type="dcterms:W3CDTF">2026-02-26T13:14:36Z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0x010100ADCEF711806F834C88A2266E5B45593A</vt:lpwstr>
  </property>
  <property fmtid="{D5CDD505-2E9C-101B-9397-08002B2CF9AE}" pid="3" name="MediaServiceImageTags">
    <vt:lpwstr/>
  </property>
</Properties>
</file>